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aharyuda/Downloads/"/>
    </mc:Choice>
  </mc:AlternateContent>
  <xr:revisionPtr revIDLastSave="0" documentId="8_{A07D8A8E-E0FC-A14A-8991-A9B43780B212}" xr6:coauthVersionLast="47" xr6:coauthVersionMax="47" xr10:uidLastSave="{00000000-0000-0000-0000-000000000000}"/>
  <bookViews>
    <workbookView xWindow="1080" yWindow="1260" windowWidth="27640" windowHeight="16720" xr2:uid="{82F5F37F-0FF7-BD4D-BA77-B3A2E69827F5}"/>
  </bookViews>
  <sheets>
    <sheet name="REVENUE 2025 UPD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K21" i="1" l="1"/>
  <c r="DE21" i="1" s="1"/>
  <c r="CU21" i="1"/>
  <c r="CS21" i="1"/>
  <c r="CO21" i="1"/>
  <c r="CF21" i="1"/>
  <c r="CG21" i="1" s="1"/>
  <c r="BY21" i="1"/>
  <c r="BK21" i="1"/>
  <c r="AP21" i="1"/>
  <c r="AL21" i="1"/>
  <c r="N21" i="1"/>
  <c r="E21" i="1"/>
  <c r="DP20" i="1"/>
  <c r="DR20" i="1" s="1"/>
  <c r="DP4" i="1" s="1"/>
  <c r="DN20" i="1"/>
  <c r="DM20" i="1"/>
  <c r="DD20" i="1"/>
  <c r="DQ21" i="1" s="1"/>
  <c r="DC20" i="1"/>
  <c r="CN20" i="1"/>
  <c r="CR20" i="1" s="1"/>
  <c r="DO4" i="1" s="1"/>
  <c r="CM20" i="1"/>
  <c r="CQ21" i="1" s="1"/>
  <c r="CL20" i="1"/>
  <c r="CK20" i="1"/>
  <c r="CI20" i="1"/>
  <c r="CI21" i="1" s="1"/>
  <c r="CE20" i="1"/>
  <c r="CH20" i="1" s="1"/>
  <c r="DD4" i="1" s="1"/>
  <c r="CD20" i="1"/>
  <c r="CG20" i="1" s="1"/>
  <c r="CB20" i="1"/>
  <c r="BY20" i="1"/>
  <c r="BX20" i="1"/>
  <c r="BW20" i="1"/>
  <c r="BV20" i="1"/>
  <c r="BU20" i="1"/>
  <c r="BR20" i="1"/>
  <c r="BQ20" i="1"/>
  <c r="BP20" i="1"/>
  <c r="BO20" i="1"/>
  <c r="BN20" i="1"/>
  <c r="BD20" i="1"/>
  <c r="AW20" i="1"/>
  <c r="AK20" i="1"/>
  <c r="AJ20" i="1"/>
  <c r="AA20" i="1"/>
  <c r="DR19" i="1"/>
  <c r="DQ19" i="1"/>
  <c r="DO19" i="1"/>
  <c r="DN19" i="1"/>
  <c r="DM19" i="1"/>
  <c r="DL19" i="1"/>
  <c r="DJ19" i="1"/>
  <c r="DH19" i="1"/>
  <c r="DB19" i="1"/>
  <c r="CY19" i="1"/>
  <c r="CV19" i="1"/>
  <c r="CX19" i="1" s="1"/>
  <c r="CN19" i="1"/>
  <c r="CR19" i="1" s="1"/>
  <c r="CM19" i="1"/>
  <c r="CQ19" i="1" s="1"/>
  <c r="CI19" i="1"/>
  <c r="CJ19" i="1" s="1"/>
  <c r="CE19" i="1"/>
  <c r="CH19" i="1" s="1"/>
  <c r="CD19" i="1"/>
  <c r="CG19" i="1" s="1"/>
  <c r="CC19" i="1"/>
  <c r="CB19" i="1"/>
  <c r="BX19" i="1"/>
  <c r="CA19" i="1" s="1"/>
  <c r="BW19" i="1"/>
  <c r="BZ19" i="1" s="1"/>
  <c r="BU19" i="1"/>
  <c r="BQ19" i="1"/>
  <c r="BT19" i="1" s="1"/>
  <c r="BP19" i="1"/>
  <c r="BS19" i="1" s="1"/>
  <c r="BN19" i="1"/>
  <c r="BJ19" i="1"/>
  <c r="BM19" i="1" s="1"/>
  <c r="BI19" i="1"/>
  <c r="BL19" i="1" s="1"/>
  <c r="BG19" i="1"/>
  <c r="BC19" i="1"/>
  <c r="BF19" i="1" s="1"/>
  <c r="BB19" i="1"/>
  <c r="BE19" i="1" s="1"/>
  <c r="BA19" i="1"/>
  <c r="AZ19" i="1"/>
  <c r="AV19" i="1"/>
  <c r="AY19" i="1" s="1"/>
  <c r="AU19" i="1"/>
  <c r="AX19" i="1" s="1"/>
  <c r="AS19" i="1"/>
  <c r="AO19" i="1"/>
  <c r="AN19" i="1"/>
  <c r="AM19" i="1"/>
  <c r="AR19" i="1" s="1"/>
  <c r="AL19" i="1"/>
  <c r="AQ19" i="1" s="1"/>
  <c r="AK19" i="1"/>
  <c r="AJ19" i="1"/>
  <c r="AH19" i="1"/>
  <c r="DR18" i="1"/>
  <c r="DQ18" i="1"/>
  <c r="DO18" i="1"/>
  <c r="DN18" i="1"/>
  <c r="DM18" i="1"/>
  <c r="DL18" i="1"/>
  <c r="DJ18" i="1"/>
  <c r="DH18" i="1"/>
  <c r="DF18" i="1"/>
  <c r="DG18" i="1" s="1"/>
  <c r="DB18" i="1"/>
  <c r="CY18" i="1"/>
  <c r="CZ18" i="1" s="1"/>
  <c r="CV18" i="1"/>
  <c r="CX18" i="1" s="1"/>
  <c r="CN18" i="1"/>
  <c r="CR18" i="1" s="1"/>
  <c r="CM18" i="1"/>
  <c r="CQ18" i="1" s="1"/>
  <c r="CI18" i="1"/>
  <c r="CJ18" i="1" s="1"/>
  <c r="CE18" i="1"/>
  <c r="CH18" i="1" s="1"/>
  <c r="CD18" i="1"/>
  <c r="CG18" i="1" s="1"/>
  <c r="CC18" i="1"/>
  <c r="CB18" i="1"/>
  <c r="BX18" i="1"/>
  <c r="CA18" i="1" s="1"/>
  <c r="BW18" i="1"/>
  <c r="BZ18" i="1" s="1"/>
  <c r="BU18" i="1"/>
  <c r="BQ18" i="1"/>
  <c r="BT18" i="1" s="1"/>
  <c r="BP18" i="1"/>
  <c r="BS18" i="1" s="1"/>
  <c r="BN18" i="1"/>
  <c r="BJ18" i="1"/>
  <c r="BM18" i="1" s="1"/>
  <c r="BI18" i="1"/>
  <c r="BL18" i="1" s="1"/>
  <c r="BG18" i="1"/>
  <c r="BC18" i="1"/>
  <c r="BF18" i="1" s="1"/>
  <c r="BB18" i="1"/>
  <c r="BE18" i="1" s="1"/>
  <c r="BA18" i="1"/>
  <c r="AZ18" i="1"/>
  <c r="AX18" i="1"/>
  <c r="AV18" i="1"/>
  <c r="AY18" i="1" s="1"/>
  <c r="AS18" i="1"/>
  <c r="AO18" i="1"/>
  <c r="AN18" i="1"/>
  <c r="AM18" i="1"/>
  <c r="AR18" i="1" s="1"/>
  <c r="AL18" i="1"/>
  <c r="AQ18" i="1" s="1"/>
  <c r="AK18" i="1"/>
  <c r="AJ18" i="1"/>
  <c r="AH18" i="1"/>
  <c r="DR17" i="1"/>
  <c r="DQ17" i="1"/>
  <c r="DO17" i="1"/>
  <c r="DN17" i="1"/>
  <c r="DM17" i="1"/>
  <c r="DH17" i="1"/>
  <c r="DF17" i="1"/>
  <c r="DI17" i="1" s="1"/>
  <c r="DB17" i="1"/>
  <c r="CY17" i="1"/>
  <c r="CV17" i="1"/>
  <c r="CW17" i="1" s="1"/>
  <c r="CN17" i="1"/>
  <c r="CR17" i="1" s="1"/>
  <c r="CM17" i="1"/>
  <c r="CQ17" i="1" s="1"/>
  <c r="CI17" i="1"/>
  <c r="CJ17" i="1" s="1"/>
  <c r="CE17" i="1"/>
  <c r="CH17" i="1" s="1"/>
  <c r="CD17" i="1"/>
  <c r="CG17" i="1" s="1"/>
  <c r="CC17" i="1"/>
  <c r="CB17" i="1"/>
  <c r="BX17" i="1"/>
  <c r="CA17" i="1" s="1"/>
  <c r="BW17" i="1"/>
  <c r="BZ17" i="1" s="1"/>
  <c r="BU17" i="1"/>
  <c r="BQ17" i="1"/>
  <c r="BT17" i="1" s="1"/>
  <c r="BP17" i="1"/>
  <c r="BS17" i="1" s="1"/>
  <c r="BN17" i="1"/>
  <c r="BJ17" i="1"/>
  <c r="BM17" i="1" s="1"/>
  <c r="BI17" i="1"/>
  <c r="BL17" i="1" s="1"/>
  <c r="BG17" i="1"/>
  <c r="BC17" i="1"/>
  <c r="BF17" i="1" s="1"/>
  <c r="BB17" i="1"/>
  <c r="BE17" i="1" s="1"/>
  <c r="BA17" i="1"/>
  <c r="AZ17" i="1"/>
  <c r="AV17" i="1"/>
  <c r="AY17" i="1" s="1"/>
  <c r="AU17" i="1"/>
  <c r="AX17" i="1" s="1"/>
  <c r="AS17" i="1"/>
  <c r="AO17" i="1"/>
  <c r="AN17" i="1"/>
  <c r="AM17" i="1"/>
  <c r="AR17" i="1" s="1"/>
  <c r="AL17" i="1"/>
  <c r="AQ17" i="1" s="1"/>
  <c r="AK17" i="1"/>
  <c r="AJ17" i="1"/>
  <c r="AH17" i="1"/>
  <c r="DR16" i="1"/>
  <c r="DQ16" i="1"/>
  <c r="DO16" i="1"/>
  <c r="DN16" i="1"/>
  <c r="DM16" i="1"/>
  <c r="DH16" i="1"/>
  <c r="DF16" i="1"/>
  <c r="CZ16" i="1"/>
  <c r="CY16" i="1"/>
  <c r="DA16" i="1" s="1"/>
  <c r="DB16" i="1" s="1"/>
  <c r="CV16" i="1"/>
  <c r="CX16" i="1" s="1"/>
  <c r="CN16" i="1"/>
  <c r="CR16" i="1" s="1"/>
  <c r="CM16" i="1"/>
  <c r="CQ16" i="1" s="1"/>
  <c r="CI16" i="1"/>
  <c r="CJ16" i="1" s="1"/>
  <c r="CE16" i="1"/>
  <c r="CH16" i="1" s="1"/>
  <c r="CD16" i="1"/>
  <c r="CG16" i="1" s="1"/>
  <c r="CC16" i="1"/>
  <c r="CB16" i="1"/>
  <c r="BX16" i="1"/>
  <c r="CA16" i="1" s="1"/>
  <c r="BW16" i="1"/>
  <c r="BZ16" i="1" s="1"/>
  <c r="BU16" i="1"/>
  <c r="BQ16" i="1"/>
  <c r="BT16" i="1" s="1"/>
  <c r="BP16" i="1"/>
  <c r="BS16" i="1" s="1"/>
  <c r="BN16" i="1"/>
  <c r="BJ16" i="1"/>
  <c r="BM16" i="1" s="1"/>
  <c r="BI16" i="1"/>
  <c r="BL16" i="1" s="1"/>
  <c r="BG16" i="1"/>
  <c r="BC16" i="1"/>
  <c r="BF16" i="1" s="1"/>
  <c r="BB16" i="1"/>
  <c r="BE16" i="1" s="1"/>
  <c r="BA16" i="1"/>
  <c r="AZ16" i="1"/>
  <c r="AV16" i="1"/>
  <c r="AY16" i="1" s="1"/>
  <c r="AU16" i="1"/>
  <c r="AX16" i="1" s="1"/>
  <c r="AS16" i="1"/>
  <c r="AO16" i="1"/>
  <c r="AN16" i="1"/>
  <c r="AM16" i="1"/>
  <c r="AR16" i="1" s="1"/>
  <c r="AL16" i="1"/>
  <c r="AQ16" i="1" s="1"/>
  <c r="AK16" i="1"/>
  <c r="AJ16" i="1"/>
  <c r="AH16" i="1"/>
  <c r="DR15" i="1"/>
  <c r="DQ15" i="1"/>
  <c r="DO15" i="1"/>
  <c r="DN15" i="1"/>
  <c r="DM15" i="1"/>
  <c r="DI15" i="1"/>
  <c r="DL15" i="1" s="1"/>
  <c r="DH15" i="1"/>
  <c r="CY15" i="1"/>
  <c r="DA15" i="1" s="1"/>
  <c r="DB15" i="1" s="1"/>
  <c r="CV15" i="1"/>
  <c r="CW15" i="1" s="1"/>
  <c r="CN15" i="1"/>
  <c r="CR15" i="1" s="1"/>
  <c r="CM15" i="1"/>
  <c r="CQ15" i="1" s="1"/>
  <c r="CI15" i="1"/>
  <c r="CJ15" i="1" s="1"/>
  <c r="CE15" i="1"/>
  <c r="CH15" i="1" s="1"/>
  <c r="CD15" i="1"/>
  <c r="CG15" i="1" s="1"/>
  <c r="CC15" i="1"/>
  <c r="CB15" i="1"/>
  <c r="BX15" i="1"/>
  <c r="CA15" i="1" s="1"/>
  <c r="BW15" i="1"/>
  <c r="BZ15" i="1" s="1"/>
  <c r="BU15" i="1"/>
  <c r="BQ15" i="1"/>
  <c r="BT15" i="1" s="1"/>
  <c r="BP15" i="1"/>
  <c r="BS15" i="1" s="1"/>
  <c r="BN15" i="1"/>
  <c r="BJ15" i="1"/>
  <c r="BM15" i="1" s="1"/>
  <c r="BI15" i="1"/>
  <c r="BL15" i="1" s="1"/>
  <c r="BG15" i="1"/>
  <c r="BC15" i="1"/>
  <c r="BF15" i="1" s="1"/>
  <c r="BB15" i="1"/>
  <c r="BE15" i="1" s="1"/>
  <c r="BA15" i="1"/>
  <c r="AZ15" i="1"/>
  <c r="AV15" i="1"/>
  <c r="AY15" i="1" s="1"/>
  <c r="AU15" i="1"/>
  <c r="AX15" i="1" s="1"/>
  <c r="AS15" i="1"/>
  <c r="AO15" i="1"/>
  <c r="AN15" i="1"/>
  <c r="AM15" i="1"/>
  <c r="AR15" i="1" s="1"/>
  <c r="AL15" i="1"/>
  <c r="AQ15" i="1" s="1"/>
  <c r="AK15" i="1"/>
  <c r="AJ15" i="1"/>
  <c r="AH15" i="1"/>
  <c r="DR14" i="1"/>
  <c r="DQ14" i="1"/>
  <c r="DO14" i="1"/>
  <c r="DN14" i="1"/>
  <c r="DM14" i="1"/>
  <c r="DL14" i="1"/>
  <c r="DJ14" i="1"/>
  <c r="DH14" i="1"/>
  <c r="DF14" i="1"/>
  <c r="CY14" i="1"/>
  <c r="DA14" i="1" s="1"/>
  <c r="DB14" i="1" s="1"/>
  <c r="CV14" i="1"/>
  <c r="CN14" i="1"/>
  <c r="CR14" i="1" s="1"/>
  <c r="CM14" i="1"/>
  <c r="CQ14" i="1" s="1"/>
  <c r="CI14" i="1"/>
  <c r="CJ14" i="1" s="1"/>
  <c r="CE14" i="1"/>
  <c r="CH14" i="1" s="1"/>
  <c r="CD14" i="1"/>
  <c r="CG14" i="1" s="1"/>
  <c r="CC14" i="1"/>
  <c r="CB14" i="1"/>
  <c r="BZ14" i="1"/>
  <c r="BX14" i="1"/>
  <c r="CA14" i="1" s="1"/>
  <c r="BW14" i="1"/>
  <c r="BU14" i="1"/>
  <c r="BQ14" i="1"/>
  <c r="BT14" i="1" s="1"/>
  <c r="BP14" i="1"/>
  <c r="BS14" i="1" s="1"/>
  <c r="BN14" i="1"/>
  <c r="BJ14" i="1"/>
  <c r="BM14" i="1" s="1"/>
  <c r="BI14" i="1"/>
  <c r="BL14" i="1" s="1"/>
  <c r="BG14" i="1"/>
  <c r="BC14" i="1"/>
  <c r="BF14" i="1" s="1"/>
  <c r="BB14" i="1"/>
  <c r="BE14" i="1" s="1"/>
  <c r="BA14" i="1"/>
  <c r="AZ14" i="1"/>
  <c r="AV14" i="1"/>
  <c r="AY14" i="1" s="1"/>
  <c r="AU14" i="1"/>
  <c r="AX14" i="1" s="1"/>
  <c r="AS14" i="1"/>
  <c r="AQ14" i="1"/>
  <c r="AO14" i="1"/>
  <c r="AN14" i="1"/>
  <c r="AM14" i="1"/>
  <c r="AR14" i="1" s="1"/>
  <c r="AL14" i="1"/>
  <c r="AK14" i="1"/>
  <c r="AJ14" i="1"/>
  <c r="AH14" i="1"/>
  <c r="DR13" i="1"/>
  <c r="DQ13" i="1"/>
  <c r="DO13" i="1"/>
  <c r="DN13" i="1"/>
  <c r="DM13" i="1"/>
  <c r="DL13" i="1"/>
  <c r="DJ13" i="1"/>
  <c r="DH13" i="1"/>
  <c r="DF13" i="1"/>
  <c r="CY13" i="1"/>
  <c r="DA13" i="1" s="1"/>
  <c r="DB13" i="1" s="1"/>
  <c r="CV13" i="1"/>
  <c r="CX13" i="1" s="1"/>
  <c r="CN13" i="1"/>
  <c r="CR13" i="1" s="1"/>
  <c r="CM13" i="1"/>
  <c r="CQ13" i="1" s="1"/>
  <c r="CI13" i="1"/>
  <c r="CJ13" i="1" s="1"/>
  <c r="CE13" i="1"/>
  <c r="CH13" i="1" s="1"/>
  <c r="CD13" i="1"/>
  <c r="CG13" i="1" s="1"/>
  <c r="CC13" i="1"/>
  <c r="CB13" i="1"/>
  <c r="BX13" i="1"/>
  <c r="CA13" i="1" s="1"/>
  <c r="BW13" i="1"/>
  <c r="BZ13" i="1" s="1"/>
  <c r="BU13" i="1"/>
  <c r="BQ13" i="1"/>
  <c r="BT13" i="1" s="1"/>
  <c r="BP13" i="1"/>
  <c r="BS13" i="1" s="1"/>
  <c r="BN13" i="1"/>
  <c r="BJ13" i="1"/>
  <c r="BM13" i="1" s="1"/>
  <c r="BI13" i="1"/>
  <c r="BL13" i="1" s="1"/>
  <c r="BG13" i="1"/>
  <c r="BC13" i="1"/>
  <c r="BF13" i="1" s="1"/>
  <c r="BB13" i="1"/>
  <c r="BE13" i="1" s="1"/>
  <c r="BA13" i="1"/>
  <c r="AZ13" i="1"/>
  <c r="AV13" i="1"/>
  <c r="AY13" i="1" s="1"/>
  <c r="AU13" i="1"/>
  <c r="AX13" i="1" s="1"/>
  <c r="AS13" i="1"/>
  <c r="AO13" i="1"/>
  <c r="AN13" i="1"/>
  <c r="AM13" i="1"/>
  <c r="AR13" i="1" s="1"/>
  <c r="AL13" i="1"/>
  <c r="AQ13" i="1" s="1"/>
  <c r="AK13" i="1"/>
  <c r="AJ13" i="1"/>
  <c r="AH13" i="1"/>
  <c r="DR12" i="1"/>
  <c r="DQ12" i="1"/>
  <c r="DO12" i="1"/>
  <c r="DN12" i="1"/>
  <c r="DM12" i="1"/>
  <c r="DL12" i="1"/>
  <c r="DJ12" i="1"/>
  <c r="DH12" i="1"/>
  <c r="DG12" i="1"/>
  <c r="DB12" i="1"/>
  <c r="CY12" i="1"/>
  <c r="CZ12" i="1" s="1"/>
  <c r="CZ20" i="1" s="1"/>
  <c r="CV12" i="1"/>
  <c r="CX12" i="1" s="1"/>
  <c r="CN12" i="1"/>
  <c r="CR12" i="1" s="1"/>
  <c r="CM12" i="1"/>
  <c r="CQ12" i="1" s="1"/>
  <c r="CI12" i="1"/>
  <c r="CJ12" i="1" s="1"/>
  <c r="CE12" i="1"/>
  <c r="CH12" i="1" s="1"/>
  <c r="CD12" i="1"/>
  <c r="CG12" i="1" s="1"/>
  <c r="CC12" i="1"/>
  <c r="CB12" i="1"/>
  <c r="BX12" i="1"/>
  <c r="CA12" i="1" s="1"/>
  <c r="BW12" i="1"/>
  <c r="BZ12" i="1" s="1"/>
  <c r="BU12" i="1"/>
  <c r="BQ12" i="1"/>
  <c r="BT12" i="1" s="1"/>
  <c r="BP12" i="1"/>
  <c r="BS12" i="1" s="1"/>
  <c r="BN12" i="1"/>
  <c r="BJ12" i="1"/>
  <c r="BM12" i="1" s="1"/>
  <c r="BI12" i="1"/>
  <c r="BL12" i="1" s="1"/>
  <c r="BG12" i="1"/>
  <c r="BC12" i="1"/>
  <c r="BF12" i="1" s="1"/>
  <c r="BB12" i="1"/>
  <c r="BE12" i="1" s="1"/>
  <c r="BA12" i="1"/>
  <c r="AZ12" i="1"/>
  <c r="AV12" i="1"/>
  <c r="AY12" i="1" s="1"/>
  <c r="AU12" i="1"/>
  <c r="AX12" i="1" s="1"/>
  <c r="AS12" i="1"/>
  <c r="AO12" i="1"/>
  <c r="AN12" i="1"/>
  <c r="AM12" i="1"/>
  <c r="AR12" i="1" s="1"/>
  <c r="AL12" i="1"/>
  <c r="AQ12" i="1" s="1"/>
  <c r="AK12" i="1"/>
  <c r="AJ12" i="1"/>
  <c r="AH12" i="1"/>
  <c r="DR11" i="1"/>
  <c r="DQ11" i="1"/>
  <c r="DO11" i="1"/>
  <c r="DN11" i="1"/>
  <c r="DM11" i="1"/>
  <c r="DH11" i="1"/>
  <c r="DF11" i="1"/>
  <c r="CY11" i="1"/>
  <c r="DA11" i="1" s="1"/>
  <c r="DB11" i="1" s="1"/>
  <c r="CV11" i="1"/>
  <c r="CW11" i="1" s="1"/>
  <c r="CN11" i="1"/>
  <c r="CR11" i="1" s="1"/>
  <c r="CM11" i="1"/>
  <c r="CQ11" i="1" s="1"/>
  <c r="CI11" i="1"/>
  <c r="CJ11" i="1" s="1"/>
  <c r="CE11" i="1"/>
  <c r="CH11" i="1" s="1"/>
  <c r="CD11" i="1"/>
  <c r="CG11" i="1" s="1"/>
  <c r="CC11" i="1"/>
  <c r="CB11" i="1"/>
  <c r="BX11" i="1"/>
  <c r="CA11" i="1" s="1"/>
  <c r="BW11" i="1"/>
  <c r="BZ11" i="1" s="1"/>
  <c r="BU11" i="1"/>
  <c r="BQ11" i="1"/>
  <c r="BT11" i="1" s="1"/>
  <c r="BP11" i="1"/>
  <c r="BS11" i="1" s="1"/>
  <c r="BN11" i="1"/>
  <c r="BJ11" i="1"/>
  <c r="BM11" i="1" s="1"/>
  <c r="BI11" i="1"/>
  <c r="BL11" i="1" s="1"/>
  <c r="BG11" i="1"/>
  <c r="BC11" i="1"/>
  <c r="BF11" i="1" s="1"/>
  <c r="BB11" i="1"/>
  <c r="BE11" i="1" s="1"/>
  <c r="BA11" i="1"/>
  <c r="AZ11" i="1"/>
  <c r="AV11" i="1"/>
  <c r="AY11" i="1" s="1"/>
  <c r="AU11" i="1"/>
  <c r="AX11" i="1" s="1"/>
  <c r="AS11" i="1"/>
  <c r="AO11" i="1"/>
  <c r="AN11" i="1"/>
  <c r="AM11" i="1"/>
  <c r="AR11" i="1" s="1"/>
  <c r="AL11" i="1"/>
  <c r="AQ11" i="1" s="1"/>
  <c r="AK11" i="1"/>
  <c r="AJ11" i="1"/>
  <c r="AH11" i="1"/>
  <c r="DR10" i="1"/>
  <c r="DQ10" i="1"/>
  <c r="DO10" i="1"/>
  <c r="DN10" i="1"/>
  <c r="DM10" i="1"/>
  <c r="DH10" i="1"/>
  <c r="DF10" i="1"/>
  <c r="CY10" i="1"/>
  <c r="DA10" i="1" s="1"/>
  <c r="DB10" i="1" s="1"/>
  <c r="CV10" i="1"/>
  <c r="CX10" i="1" s="1"/>
  <c r="CN10" i="1"/>
  <c r="CR10" i="1" s="1"/>
  <c r="CM10" i="1"/>
  <c r="CQ10" i="1" s="1"/>
  <c r="CI10" i="1"/>
  <c r="CJ10" i="1" s="1"/>
  <c r="CE10" i="1"/>
  <c r="CH10" i="1" s="1"/>
  <c r="CD10" i="1"/>
  <c r="CG10" i="1" s="1"/>
  <c r="CC10" i="1"/>
  <c r="CB10" i="1"/>
  <c r="BX10" i="1"/>
  <c r="CA10" i="1" s="1"/>
  <c r="BW10" i="1"/>
  <c r="BZ10" i="1" s="1"/>
  <c r="BU10" i="1"/>
  <c r="BQ10" i="1"/>
  <c r="BT10" i="1" s="1"/>
  <c r="BP10" i="1"/>
  <c r="BS10" i="1" s="1"/>
  <c r="BN10" i="1"/>
  <c r="BJ10" i="1"/>
  <c r="BM10" i="1" s="1"/>
  <c r="BI10" i="1"/>
  <c r="BL10" i="1" s="1"/>
  <c r="BG10" i="1"/>
  <c r="BC10" i="1"/>
  <c r="BF10" i="1" s="1"/>
  <c r="BB10" i="1"/>
  <c r="BE10" i="1" s="1"/>
  <c r="BA10" i="1"/>
  <c r="AZ10" i="1"/>
  <c r="AX10" i="1"/>
  <c r="AV10" i="1"/>
  <c r="AY10" i="1" s="1"/>
  <c r="AU10" i="1"/>
  <c r="AS10" i="1"/>
  <c r="AO10" i="1"/>
  <c r="AN10" i="1"/>
  <c r="AM10" i="1"/>
  <c r="AR10" i="1" s="1"/>
  <c r="AL10" i="1"/>
  <c r="AQ10" i="1" s="1"/>
  <c r="AK10" i="1"/>
  <c r="AJ10" i="1"/>
  <c r="AH10" i="1"/>
  <c r="DR9" i="1"/>
  <c r="DQ9" i="1"/>
  <c r="DO9" i="1"/>
  <c r="DN9" i="1"/>
  <c r="DM9" i="1"/>
  <c r="DL9" i="1"/>
  <c r="DJ9" i="1"/>
  <c r="DH9" i="1"/>
  <c r="DE9" i="1"/>
  <c r="CY9" i="1"/>
  <c r="DA9" i="1" s="1"/>
  <c r="DB9" i="1" s="1"/>
  <c r="CV9" i="1"/>
  <c r="CW9" i="1" s="1"/>
  <c r="CN9" i="1"/>
  <c r="CR9" i="1" s="1"/>
  <c r="CM9" i="1"/>
  <c r="CQ9" i="1" s="1"/>
  <c r="CI9" i="1"/>
  <c r="CJ9" i="1" s="1"/>
  <c r="CE9" i="1"/>
  <c r="CH9" i="1" s="1"/>
  <c r="CD9" i="1"/>
  <c r="CG9" i="1" s="1"/>
  <c r="CC9" i="1"/>
  <c r="CB9" i="1"/>
  <c r="BX9" i="1"/>
  <c r="CA9" i="1" s="1"/>
  <c r="BW9" i="1"/>
  <c r="BZ9" i="1" s="1"/>
  <c r="BU9" i="1"/>
  <c r="BQ9" i="1"/>
  <c r="BT9" i="1" s="1"/>
  <c r="BP9" i="1"/>
  <c r="BS9" i="1" s="1"/>
  <c r="BN9" i="1"/>
  <c r="BJ9" i="1"/>
  <c r="BM9" i="1" s="1"/>
  <c r="BI9" i="1"/>
  <c r="BL9" i="1" s="1"/>
  <c r="BG9" i="1"/>
  <c r="BC9" i="1"/>
  <c r="BF9" i="1" s="1"/>
  <c r="BB9" i="1"/>
  <c r="BE9" i="1" s="1"/>
  <c r="BA9" i="1"/>
  <c r="AZ9" i="1"/>
  <c r="AV9" i="1"/>
  <c r="AY9" i="1" s="1"/>
  <c r="AU9" i="1"/>
  <c r="AX9" i="1" s="1"/>
  <c r="AS9" i="1"/>
  <c r="AO9" i="1"/>
  <c r="AN9" i="1"/>
  <c r="AM9" i="1"/>
  <c r="AR9" i="1" s="1"/>
  <c r="AL9" i="1"/>
  <c r="AQ9" i="1" s="1"/>
  <c r="AK9" i="1"/>
  <c r="AJ9" i="1"/>
  <c r="AH9" i="1"/>
  <c r="DR8" i="1"/>
  <c r="DQ8" i="1"/>
  <c r="DO8" i="1"/>
  <c r="DN8" i="1"/>
  <c r="DM8" i="1"/>
  <c r="DL8" i="1"/>
  <c r="DJ8" i="1"/>
  <c r="DH8" i="1"/>
  <c r="DE8" i="1"/>
  <c r="DE20" i="1" s="1"/>
  <c r="CY8" i="1"/>
  <c r="DA8" i="1" s="1"/>
  <c r="CV8" i="1"/>
  <c r="CN8" i="1"/>
  <c r="CR8" i="1" s="1"/>
  <c r="CM8" i="1"/>
  <c r="CQ8" i="1" s="1"/>
  <c r="CI8" i="1"/>
  <c r="CJ8" i="1" s="1"/>
  <c r="CE8" i="1"/>
  <c r="CH8" i="1" s="1"/>
  <c r="CD8" i="1"/>
  <c r="CG8" i="1" s="1"/>
  <c r="CC8" i="1"/>
  <c r="CB8" i="1"/>
  <c r="BX8" i="1"/>
  <c r="CA8" i="1" s="1"/>
  <c r="BW8" i="1"/>
  <c r="BZ8" i="1" s="1"/>
  <c r="BU8" i="1"/>
  <c r="BQ8" i="1"/>
  <c r="BT8" i="1" s="1"/>
  <c r="BP8" i="1"/>
  <c r="BS8" i="1" s="1"/>
  <c r="BN8" i="1"/>
  <c r="BJ8" i="1"/>
  <c r="BM8" i="1" s="1"/>
  <c r="BI8" i="1"/>
  <c r="BL8" i="1" s="1"/>
  <c r="BH8" i="1"/>
  <c r="BH20" i="1" s="1"/>
  <c r="BH21" i="1" s="1"/>
  <c r="BG8" i="1"/>
  <c r="BC8" i="1"/>
  <c r="BF8" i="1" s="1"/>
  <c r="BB8" i="1"/>
  <c r="BE8" i="1" s="1"/>
  <c r="BA8" i="1"/>
  <c r="AZ8" i="1"/>
  <c r="AV8" i="1"/>
  <c r="AY8" i="1" s="1"/>
  <c r="AU8" i="1"/>
  <c r="AX8" i="1" s="1"/>
  <c r="AT8" i="1"/>
  <c r="AT20" i="1" s="1"/>
  <c r="AS8" i="1"/>
  <c r="AO8" i="1"/>
  <c r="AN8" i="1"/>
  <c r="AM8" i="1"/>
  <c r="AL8" i="1"/>
  <c r="AK8" i="1"/>
  <c r="AJ8" i="1"/>
  <c r="AH8" i="1"/>
  <c r="DO3" i="1"/>
  <c r="DD3" i="1"/>
  <c r="BN1" i="1"/>
  <c r="CX17" i="1" l="1"/>
  <c r="BZ20" i="1"/>
  <c r="CW18" i="1"/>
  <c r="DH20" i="1"/>
  <c r="BS20" i="1"/>
  <c r="AN20" i="1"/>
  <c r="CK21" i="1"/>
  <c r="CJ20" i="1"/>
  <c r="CJ21" i="1" s="1"/>
  <c r="CW13" i="1"/>
  <c r="CX15" i="1"/>
  <c r="DQ20" i="1"/>
  <c r="BB20" i="1"/>
  <c r="BE20" i="1" s="1"/>
  <c r="CW16" i="1"/>
  <c r="DI16" i="1"/>
  <c r="DP3" i="1"/>
  <c r="DQ3" i="1" s="1"/>
  <c r="CX9" i="1"/>
  <c r="AH20" i="1"/>
  <c r="CC20" i="1"/>
  <c r="BG20" i="1"/>
  <c r="DA20" i="1"/>
  <c r="DB20" i="1" s="1"/>
  <c r="DB8" i="1"/>
  <c r="AL20" i="1"/>
  <c r="AQ20" i="1" s="1"/>
  <c r="AZ20" i="1"/>
  <c r="AZ21" i="1" s="1"/>
  <c r="AS20" i="1"/>
  <c r="CW14" i="1"/>
  <c r="CX14" i="1"/>
  <c r="AM20" i="1"/>
  <c r="AR20" i="1" s="1"/>
  <c r="AR8" i="1"/>
  <c r="CY20" i="1"/>
  <c r="AU20" i="1"/>
  <c r="AX20" i="1" s="1"/>
  <c r="CT3" i="1"/>
  <c r="BL21" i="1"/>
  <c r="BA20" i="1"/>
  <c r="BD21" i="1"/>
  <c r="AO20" i="1"/>
  <c r="DF20" i="1"/>
  <c r="BI20" i="1"/>
  <c r="BL20" i="1" s="1"/>
  <c r="DO20" i="1"/>
  <c r="BC20" i="1"/>
  <c r="BF20" i="1" s="1"/>
  <c r="DJ17" i="1"/>
  <c r="DL17" i="1"/>
  <c r="AV20" i="1"/>
  <c r="AY20" i="1" s="1"/>
  <c r="BJ20" i="1"/>
  <c r="BM20" i="1" s="1"/>
  <c r="CT4" i="1" s="1"/>
  <c r="CV20" i="1"/>
  <c r="DI10" i="1"/>
  <c r="CA20" i="1"/>
  <c r="DC4" i="1" s="1"/>
  <c r="CE21" i="1"/>
  <c r="DC3" i="1"/>
  <c r="CU3" i="1"/>
  <c r="CW12" i="1"/>
  <c r="DG13" i="1"/>
  <c r="DG20" i="1" s="1"/>
  <c r="DJ15" i="1"/>
  <c r="BR21" i="1"/>
  <c r="CR21" i="1"/>
  <c r="CW10" i="1"/>
  <c r="CW19" i="1"/>
  <c r="BT20" i="1"/>
  <c r="CU4" i="1" s="1"/>
  <c r="CQ20" i="1"/>
  <c r="CW8" i="1"/>
  <c r="DI11" i="1"/>
  <c r="AW21" i="1"/>
  <c r="AQ8" i="1"/>
  <c r="BN21" i="1"/>
  <c r="CX8" i="1"/>
  <c r="DL16" i="1" l="1"/>
  <c r="DJ16" i="1"/>
  <c r="DJ10" i="1"/>
  <c r="DL10" i="1"/>
  <c r="DI20" i="1"/>
  <c r="DJ11" i="1"/>
  <c r="DL11" i="1"/>
  <c r="CW20" i="1"/>
  <c r="DP21" i="1"/>
  <c r="BC21" i="1"/>
  <c r="DG21" i="1"/>
  <c r="CX20" i="1"/>
  <c r="DL20" i="1" l="1"/>
  <c r="DI21" i="1"/>
  <c r="DJ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Ruri Arumdanu</author>
  </authors>
  <commentList>
    <comment ref="BA8" authorId="0" shapeId="0" xr:uid="{8ECAD276-19BF-F04B-ADAD-FBF132729E0B}">
      <text>
        <r>
          <rPr>
            <sz val="11"/>
            <color theme="1"/>
            <rFont val="Calibri"/>
            <family val="2"/>
            <scheme val="minor"/>
          </rPr>
          <t>Ruri Arumdanu:
0.1</t>
        </r>
      </text>
    </comment>
    <comment ref="BH8" authorId="0" shapeId="0" xr:uid="{C492A82A-112D-014A-B43C-1D09AC59CC81}">
      <text>
        <r>
          <rPr>
            <sz val="11"/>
            <color theme="1"/>
            <rFont val="Calibri"/>
            <family val="2"/>
            <scheme val="minor"/>
          </rPr>
          <t xml:space="preserve">Ruri Arumdanu:
jar 3.4 M ; jul 30M </t>
        </r>
      </text>
    </comment>
    <comment ref="AO9" authorId="0" shapeId="0" xr:uid="{7CD6670B-9B6D-F84A-9C93-04451A74152D}">
      <text>
        <r>
          <rPr>
            <sz val="11"/>
            <color theme="1"/>
            <rFont val="Calibri"/>
            <family val="2"/>
            <scheme val="minor"/>
          </rPr>
          <t>Ruri Arumdanu:
0.05 +1.46+13.27+6.99+3.29+3.52</t>
        </r>
      </text>
    </comment>
    <comment ref="AT9" authorId="0" shapeId="0" xr:uid="{74E17D38-324A-C84B-9276-253A21CF9A3A}">
      <text>
        <r>
          <rPr>
            <sz val="11"/>
            <color theme="1"/>
            <rFont val="Calibri"/>
            <family val="2"/>
            <scheme val="minor"/>
          </rPr>
          <t>Ruri Arumdanu:
1.46 - CR EAM,PEMBARUAN TEKNOLOGI UPGRADE SISTEM GIS KORPORAT
TAHAP III
2.86 - JR DASH KORPORAT, JR DASHBOARD GEOSPASIAL DAN VIRTUAL REALITY TEKNOLOGY UNTUK SHOWCASE PROGRAM LISTRIK DESA</t>
        </r>
      </text>
    </comment>
    <comment ref="BA9" authorId="0" shapeId="0" xr:uid="{EB328B58-E3E6-054C-92F7-A0AB4688D234}">
      <text>
        <r>
          <rPr>
            <sz val="11"/>
            <color theme="1"/>
            <rFont val="Calibri"/>
            <family val="2"/>
            <scheme val="minor"/>
          </rPr>
          <t>Ruri Arumdanu:
1.59=&gt;25=&gt;47</t>
        </r>
      </text>
    </comment>
    <comment ref="BH9" authorId="0" shapeId="0" xr:uid="{162BF7EA-0148-3A4B-8A56-9105C3F49D22}">
      <text>
        <r>
          <rPr>
            <sz val="11"/>
            <color theme="1"/>
            <rFont val="Calibri"/>
            <family val="2"/>
            <scheme val="minor"/>
          </rPr>
          <t>Ruri Arumdanu:
33 M JULI</t>
        </r>
      </text>
    </comment>
    <comment ref="CX11" authorId="0" shapeId="0" xr:uid="{CFF39CF2-3D1A-D041-853F-58AD7B289E03}">
      <text>
        <r>
          <rPr>
            <sz val="11"/>
            <color theme="1"/>
            <rFont val="Calibri"/>
            <family val="2"/>
            <scheme val="minor"/>
          </rPr>
          <t>Ruri Arumdanu:
-10,48</t>
        </r>
      </text>
    </comment>
    <comment ref="CY17" authorId="0" shapeId="0" xr:uid="{C92C50CB-26FA-5040-BAD5-B59ADA53B989}">
      <text>
        <r>
          <rPr>
            <sz val="11"/>
            <color theme="1"/>
            <rFont val="Calibri"/>
            <family val="2"/>
            <scheme val="minor"/>
          </rPr>
          <t>Ruri Arumdanu:
4,15 M</t>
        </r>
      </text>
    </comment>
    <comment ref="DA19" authorId="0" shapeId="0" xr:uid="{20BFE980-8A61-8844-97AE-44126503A5F2}">
      <text>
        <r>
          <rPr>
            <sz val="11"/>
            <color theme="1"/>
            <rFont val="Calibri"/>
            <family val="2"/>
            <scheme val="minor"/>
          </rPr>
          <t xml:space="preserve">Ruri Arumdanu:
39.70+26=65.70
</t>
        </r>
      </text>
    </comment>
  </commentList>
</comments>
</file>

<file path=xl/sharedStrings.xml><?xml version="1.0" encoding="utf-8"?>
<sst xmlns="http://schemas.openxmlformats.org/spreadsheetml/2006/main" count="153" uniqueCount="151">
  <si>
    <t>nr</t>
  </si>
  <si>
    <t>RKAP</t>
  </si>
  <si>
    <t>target</t>
  </si>
  <si>
    <t>BRKAP</t>
  </si>
  <si>
    <t>Prog</t>
  </si>
  <si>
    <t>%</t>
  </si>
  <si>
    <t>BIDANG/
SBU</t>
  </si>
  <si>
    <t>RKAP 2025</t>
  </si>
  <si>
    <t>KOMITMEN 2025</t>
  </si>
  <si>
    <t>BEYOND RKAP</t>
  </si>
  <si>
    <t>CO 2025</t>
  </si>
  <si>
    <t>NR KOMITMEN</t>
  </si>
  <si>
    <t>NR BEYOND RKAP</t>
  </si>
  <si>
    <t>NILAI CANVASING</t>
  </si>
  <si>
    <t>NR CANVASSING</t>
  </si>
  <si>
    <t>GAP</t>
  </si>
  <si>
    <t>NILAI CANVASING UPDATE</t>
  </si>
  <si>
    <t>NR CANVASSING UPDATE</t>
  </si>
  <si>
    <t>GAP UPDATE</t>
  </si>
  <si>
    <t>CO PER BULAN</t>
  </si>
  <si>
    <t>TARGET
JAN RKAP</t>
  </si>
  <si>
    <t>TARGET JAN
BEYOND RKAP</t>
  </si>
  <si>
    <t>NR JAN</t>
  </si>
  <si>
    <t>CO JAN</t>
  </si>
  <si>
    <t>REALISASI JAN</t>
  </si>
  <si>
    <t>% JAN
 RKAP</t>
  </si>
  <si>
    <t>% JAN
BEYOND RKAP</t>
  </si>
  <si>
    <t>TARGET
FEB RKAP</t>
  </si>
  <si>
    <t>TARGET FEB
BEYOND RKAP</t>
  </si>
  <si>
    <t>CO FEB</t>
  </si>
  <si>
    <t>NR FEB Canvasing</t>
  </si>
  <si>
    <t>NR FEB</t>
  </si>
  <si>
    <t>REALISASI FEB</t>
  </si>
  <si>
    <t>% FEB
 RKAP</t>
  </si>
  <si>
    <t>% FEB
BEYOND RKAP</t>
  </si>
  <si>
    <t>TARGET
MAR RKAP</t>
  </si>
  <si>
    <t>TARGET MAR BEYOND RKAP</t>
  </si>
  <si>
    <t>CO MAR</t>
  </si>
  <si>
    <t>NR MAR Canvasing</t>
  </si>
  <si>
    <t>NR MAR</t>
  </si>
  <si>
    <t>REALISASI MAR</t>
  </si>
  <si>
    <t>%MAR
 RKAP</t>
  </si>
  <si>
    <t>% MAR
BEYOND RKAP</t>
  </si>
  <si>
    <t>TARGET
APR RKAP</t>
  </si>
  <si>
    <t>TARGET APR
BEYOND RKAP</t>
  </si>
  <si>
    <t>CO  APR</t>
  </si>
  <si>
    <t>NR  APR Invoiced</t>
  </si>
  <si>
    <t>REALISASI APR</t>
  </si>
  <si>
    <t>% APR
 RKAP</t>
  </si>
  <si>
    <t>%  APR
BEYOND RKAP</t>
  </si>
  <si>
    <t>CO  MEI</t>
  </si>
  <si>
    <t>NR  MEI Invoiced</t>
  </si>
  <si>
    <t>TARGET
MEI RKAP</t>
  </si>
  <si>
    <t>TARGET MEI
BEYOND RKAP</t>
  </si>
  <si>
    <t>REALISASI  MEI</t>
  </si>
  <si>
    <t>% MEI
 RKAP</t>
  </si>
  <si>
    <t>% MEI
BEYOND RKAP</t>
  </si>
  <si>
    <t>CO JUNI</t>
  </si>
  <si>
    <t xml:space="preserve">NR  JUNI </t>
  </si>
  <si>
    <t>TARGET
JUNI RKAP</t>
  </si>
  <si>
    <t>TARGET JUNI
BEYOND RKAP</t>
  </si>
  <si>
    <t>REALISASI JUNI 2025</t>
  </si>
  <si>
    <t>% JUNI
 RKAP</t>
  </si>
  <si>
    <t>% JUNI
BEYOND RKAP</t>
  </si>
  <si>
    <t>CO JULI</t>
  </si>
  <si>
    <t>NR  JULI</t>
  </si>
  <si>
    <t>TARGET
JULI RKAP</t>
  </si>
  <si>
    <t>TARGET JULI 
BEYOND RKAP</t>
  </si>
  <si>
    <t>Realisasi JULI
2025</t>
  </si>
  <si>
    <t>% JULI
 RKAP</t>
  </si>
  <si>
    <t>% JULI
BEYOND RKAP</t>
  </si>
  <si>
    <t>CO AUG</t>
  </si>
  <si>
    <t>NR AUG</t>
  </si>
  <si>
    <t>TARGET
AUG  RKAP</t>
  </si>
  <si>
    <t>TARGET AUG
BEYOND RKAP</t>
  </si>
  <si>
    <t>Realisasi AUG</t>
  </si>
  <si>
    <t>% AUG RKAP</t>
  </si>
  <si>
    <t>% AUG
BEYOND RKAP</t>
  </si>
  <si>
    <t>CO SEPT</t>
  </si>
  <si>
    <t>NR  SEPT</t>
  </si>
  <si>
    <t>TARGET
SEPT RKAP</t>
  </si>
  <si>
    <t>TARGET SEPT
BEYOND RKAP</t>
  </si>
  <si>
    <t xml:space="preserve"> SEPT</t>
  </si>
  <si>
    <t>% SEPT
 RKAP</t>
  </si>
  <si>
    <t>%SEPT
BEYOND RKAP</t>
  </si>
  <si>
    <t>CO OCT</t>
  </si>
  <si>
    <t>NR   OCT</t>
  </si>
  <si>
    <t>TARGET
  OCT</t>
  </si>
  <si>
    <t>TARGET  OCT
BEYOND RKAP</t>
  </si>
  <si>
    <t>REALISASI  OCT</t>
  </si>
  <si>
    <t>%  OCT
 RKAP</t>
  </si>
  <si>
    <t>%  OCT
BEYOND RKAP</t>
  </si>
  <si>
    <t>CO NOV</t>
  </si>
  <si>
    <t>NR sd NOV</t>
  </si>
  <si>
    <t>NR  NOV  (INVOICE)</t>
  </si>
  <si>
    <t>NR  NOV  (INVOICE) 
071225</t>
  </si>
  <si>
    <t>TARGET
 NOV RKAP</t>
  </si>
  <si>
    <t>TARGET  NOV
BEYOND RKAP</t>
  </si>
  <si>
    <t>PRONOSA NOV</t>
  </si>
  <si>
    <t>REALISASI  NOV</t>
  </si>
  <si>
    <t>% NOV
 RKAP</t>
  </si>
  <si>
    <t>%  NOV
BEYOND RKAP</t>
  </si>
  <si>
    <t>TARGET
DES  RKAP</t>
  </si>
  <si>
    <t>TARGET DES
BEYOND RKAP</t>
  </si>
  <si>
    <t>CO  DES</t>
  </si>
  <si>
    <t>CO per AGUST</t>
  </si>
  <si>
    <t>NR per AGUST all</t>
  </si>
  <si>
    <t>NR per AGUST</t>
  </si>
  <si>
    <t>CO Sept sd Des Cek Poin</t>
  </si>
  <si>
    <t>NR SEP sd DES CEK POIN</t>
  </si>
  <si>
    <t>PROG DES CEK POIN</t>
  </si>
  <si>
    <t>NR  DES Canvasing</t>
  </si>
  <si>
    <t>NR  DES</t>
  </si>
  <si>
    <t>NR DES</t>
  </si>
  <si>
    <t>CO NOV &amp; DES</t>
  </si>
  <si>
    <t>NR NOV &amp; DES</t>
  </si>
  <si>
    <t>PROGNOSA 
CEK POIN DES</t>
  </si>
  <si>
    <t>KOMITMEN PER  NOV 2025</t>
  </si>
  <si>
    <t>KOMITMEN PER  DES 2025</t>
  </si>
  <si>
    <t>GAP KOMITMEN DES TERHADAP NOV 2025</t>
  </si>
  <si>
    <t>% REALISASI THD RKAP</t>
  </si>
  <si>
    <t>% REALISASI THD  BEYOND RKAP</t>
  </si>
  <si>
    <t>PROGNOSA  DES
Mei + NR Canvassing</t>
  </si>
  <si>
    <t>PROGNOSA  DES</t>
  </si>
  <si>
    <t>% DES
 RKAP</t>
  </si>
  <si>
    <t>% DES
BEYOND RKAP</t>
  </si>
  <si>
    <t>KONFRA - JUSOL</t>
  </si>
  <si>
    <t>`</t>
  </si>
  <si>
    <t>6,23</t>
  </si>
  <si>
    <t>APLIKASI - JUSOL</t>
  </si>
  <si>
    <t xml:space="preserve"> JKB ​</t>
  </si>
  <si>
    <t>-0.14</t>
  </si>
  <si>
    <t>JBB ​</t>
  </si>
  <si>
    <t>-0.75</t>
  </si>
  <si>
    <t> JTG ​</t>
  </si>
  <si>
    <t>14,41</t>
  </si>
  <si>
    <t> JBT ​</t>
  </si>
  <si>
    <t>-0.09</t>
  </si>
  <si>
    <t> BNR ​</t>
  </si>
  <si>
    <t>-0.36</t>
  </si>
  <si>
    <t> SBU ​</t>
  </si>
  <si>
    <t>-0.84</t>
  </si>
  <si>
    <t> SBT ​</t>
  </si>
  <si>
    <t>-0.62</t>
  </si>
  <si>
    <t>-0.03</t>
  </si>
  <si>
    <t> SBS ​</t>
  </si>
  <si>
    <t>-0.15</t>
  </si>
  <si>
    <t> SLW ​</t>
  </si>
  <si>
    <t>-0.01</t>
  </si>
  <si>
    <t> KLM ​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</si>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</sst>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_-;\-* #,##0_-;_-* &quot;-&quot;_-;_-@_-"/>
  </numFmts>
  <fonts count="1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6"/>
      <name val="Calibri"/>
      <family val="2"/>
      <scheme val="minor"/>
    </font>
    <font>
      <sz val="8"/>
      <color rgb="FF000000"/>
      <name val="Calibri"/>
      <family val="2"/>
    </font>
    <font>
      <i/>
      <sz val="8"/>
      <color rgb="FF000000"/>
      <name val="Calibri"/>
      <family val="2"/>
    </font>
    <font>
      <sz val="8"/>
      <color rgb="FFFF0000"/>
      <name val="Calibri"/>
      <family val="2"/>
    </font>
    <font>
      <b/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i/>
      <sz val="8"/>
      <color rgb="FFFFFFFF"/>
      <name val="Calibri"/>
      <family val="2"/>
    </font>
    <font>
      <b/>
      <sz val="8"/>
      <color theme="7"/>
      <name val="Calibri"/>
      <family val="2"/>
    </font>
    <font>
      <b/>
      <sz val="8"/>
      <color theme="0"/>
      <name val="Calibri"/>
      <family val="2"/>
    </font>
    <font>
      <b/>
      <sz val="8"/>
      <color theme="8" tint="0.59999389629810485"/>
      <name val="Calibri"/>
      <family val="2"/>
    </font>
    <font>
      <sz val="8"/>
      <color theme="4"/>
      <name val="Calibri"/>
      <family val="2"/>
    </font>
    <font>
      <sz val="8"/>
      <color theme="1"/>
      <name val="Calibri"/>
      <family val="2"/>
      <scheme val="minor"/>
    </font>
    <font>
      <sz val="8"/>
      <color rgb="FF0070C0"/>
      <name val="Calibri"/>
      <family val="2"/>
    </font>
    <font>
      <b/>
      <sz val="8"/>
      <color theme="7" tint="0.39997558519241921"/>
      <name val="Calibri"/>
      <family val="2"/>
    </font>
    <font>
      <b/>
      <sz val="8"/>
      <color theme="4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0B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A97A2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CBA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87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  <xf numFmtId="2" fontId="2" fillId="0" borderId="0" xfId="0" applyNumberFormat="1" applyFont="1" applyAlignment="1">
      <alignment horizontal="center" vertical="center"/>
    </xf>
    <xf numFmtId="43" fontId="0" fillId="0" borderId="0" xfId="0" applyNumberFormat="1"/>
    <xf numFmtId="0" fontId="3" fillId="0" borderId="0" xfId="0" applyFont="1"/>
    <xf numFmtId="0" fontId="4" fillId="0" borderId="0" xfId="0" applyFont="1"/>
    <xf numFmtId="2" fontId="5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6" fillId="0" borderId="0" xfId="0" applyFont="1"/>
    <xf numFmtId="9" fontId="3" fillId="0" borderId="0" xfId="0" applyNumberFormat="1" applyFont="1"/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4" fontId="0" fillId="0" borderId="0" xfId="0" applyNumberFormat="1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9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 readingOrder="1"/>
    </xf>
    <xf numFmtId="0" fontId="7" fillId="6" borderId="2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 wrapText="1" readingOrder="1"/>
    </xf>
    <xf numFmtId="2" fontId="3" fillId="0" borderId="0" xfId="0" applyNumberFormat="1" applyFont="1" applyAlignment="1">
      <alignment horizontal="center" vertical="center" wrapText="1" readingOrder="1"/>
    </xf>
    <xf numFmtId="2" fontId="3" fillId="9" borderId="0" xfId="0" applyNumberFormat="1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10" borderId="0" xfId="0" applyFont="1" applyFill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10" fontId="3" fillId="9" borderId="0" xfId="0" applyNumberFormat="1" applyFont="1" applyFill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  <xf numFmtId="4" fontId="12" fillId="11" borderId="0" xfId="0" applyNumberFormat="1" applyFont="1" applyFill="1" applyAlignment="1">
      <alignment horizontal="center" vertical="center"/>
    </xf>
    <xf numFmtId="10" fontId="3" fillId="12" borderId="0" xfId="0" applyNumberFormat="1" applyFont="1" applyFill="1" applyAlignment="1">
      <alignment horizontal="center" vertical="center"/>
    </xf>
    <xf numFmtId="4" fontId="3" fillId="11" borderId="0" xfId="0" applyNumberFormat="1" applyFont="1" applyFill="1" applyAlignment="1">
      <alignment horizontal="center" vertical="center"/>
    </xf>
    <xf numFmtId="2" fontId="3" fillId="11" borderId="0" xfId="0" applyNumberFormat="1" applyFont="1" applyFill="1" applyAlignment="1">
      <alignment horizontal="center" vertical="center"/>
    </xf>
    <xf numFmtId="4" fontId="3" fillId="7" borderId="0" xfId="0" applyNumberFormat="1" applyFont="1" applyFill="1" applyAlignment="1">
      <alignment horizontal="center" vertical="center"/>
    </xf>
    <xf numFmtId="10" fontId="3" fillId="11" borderId="0" xfId="0" applyNumberFormat="1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 wrapText="1" readingOrder="1"/>
    </xf>
    <xf numFmtId="0" fontId="3" fillId="0" borderId="0" xfId="0" quotePrefix="1" applyFont="1" applyAlignment="1">
      <alignment horizontal="center" vertical="center"/>
    </xf>
    <xf numFmtId="2" fontId="3" fillId="10" borderId="0" xfId="0" applyNumberFormat="1" applyFont="1" applyFill="1" applyAlignment="1">
      <alignment horizontal="center" vertical="center" wrapText="1" readingOrder="1"/>
    </xf>
    <xf numFmtId="2" fontId="14" fillId="11" borderId="0" xfId="0" applyNumberFormat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 wrapText="1" readingOrder="1"/>
    </xf>
    <xf numFmtId="0" fontId="7" fillId="4" borderId="0" xfId="0" applyFont="1" applyFill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4" fontId="7" fillId="4" borderId="0" xfId="0" applyNumberFormat="1" applyFont="1" applyFill="1" applyAlignment="1">
      <alignment horizontal="center" vertical="center"/>
    </xf>
    <xf numFmtId="2" fontId="9" fillId="4" borderId="0" xfId="0" applyNumberFormat="1" applyFont="1" applyFill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4" fontId="9" fillId="4" borderId="0" xfId="0" applyNumberFormat="1" applyFont="1" applyFill="1" applyAlignment="1">
      <alignment horizontal="center" vertical="center"/>
    </xf>
    <xf numFmtId="10" fontId="9" fillId="4" borderId="0" xfId="0" applyNumberFormat="1" applyFont="1" applyFill="1" applyAlignment="1">
      <alignment horizontal="center" vertical="center"/>
    </xf>
    <xf numFmtId="4" fontId="15" fillId="4" borderId="0" xfId="0" applyNumberFormat="1" applyFont="1" applyFill="1" applyAlignment="1">
      <alignment horizontal="center" vertical="center"/>
    </xf>
    <xf numFmtId="10" fontId="10" fillId="4" borderId="0" xfId="0" applyNumberFormat="1" applyFont="1" applyFill="1" applyAlignment="1">
      <alignment horizontal="center" vertical="center"/>
    </xf>
    <xf numFmtId="4" fontId="11" fillId="4" borderId="0" xfId="0" applyNumberFormat="1" applyFont="1" applyFill="1" applyAlignment="1">
      <alignment horizontal="center" vertical="center"/>
    </xf>
    <xf numFmtId="10" fontId="11" fillId="4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43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</cellXfs>
  <cellStyles count="2">
    <cellStyle name="Comma [0] 2 2 2" xfId="1" xr:uid="{63199D16-DA5B-254F-A2BB-B1885A318B20}"/>
    <cellStyle name="Normal" xfId="0" builtinId="0"/>
  </cellStyles>
  <dxfs count="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-152400</xdr:colOff>
      <xdr:row>21</xdr:row>
      <xdr:rowOff>0</xdr:rowOff>
    </xdr:from>
    <xdr:to>
      <xdr:col>0</xdr:col>
      <xdr:colOff>-152400</xdr:colOff>
      <xdr:row>21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C1D90C-3A2A-0545-8148-EEDF704BACE4}"/>
            </a:ext>
            <a:ext uri="{147F2762-F138-4A5C-976F-8EAC2B608ADB}">
              <a16:predDERef xmlns:a16="http://schemas.microsoft.com/office/drawing/2014/main" pred="{E28B228C-BBBD-13A6-FA86-039B0C486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-152400" y="464820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-114300</xdr:colOff>
      <xdr:row>10</xdr:row>
      <xdr:rowOff>66675</xdr:rowOff>
    </xdr:from>
    <xdr:to>
      <xdr:col>0</xdr:col>
      <xdr:colOff>-114300</xdr:colOff>
      <xdr:row>10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286E3B-D1FC-DF42-98EE-DEE69B493918}"/>
            </a:ext>
            <a:ext uri="{147F2762-F138-4A5C-976F-8EAC2B608ADB}">
              <a16:predDERef xmlns:a16="http://schemas.microsoft.com/office/drawing/2014/main" pred="{4107F037-7AAC-923F-5561-B94CF998B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-114300" y="1400175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5ABED-75A0-4840-96D3-95B9605B6BEE}">
  <sheetPr>
    <tabColor rgb="FF00B050"/>
  </sheetPr>
  <dimension ref="A1:EE21"/>
  <sheetViews>
    <sheetView showGridLines="0" tabSelected="1" workbookViewId="0">
      <pane xSplit="1" ySplit="7" topLeftCell="B8" activePane="bottomRight" state="frozen"/>
      <selection pane="topRight"/>
      <selection pane="bottomLeft"/>
      <selection pane="bottomRight" activeCell="DR27" sqref="A22:DR27"/>
    </sheetView>
  </sheetViews>
  <sheetFormatPr baseColWidth="10" defaultColWidth="9.1640625" defaultRowHeight="15" x14ac:dyDescent="0.2"/>
  <cols>
    <col min="1" max="1" width="11.83203125" customWidth="1"/>
    <col min="2" max="2" width="8" customWidth="1"/>
    <col min="3" max="3" width="10.1640625" customWidth="1"/>
    <col min="4" max="4" width="9.1640625" customWidth="1"/>
    <col min="5" max="5" width="9.5" customWidth="1"/>
    <col min="6" max="7" width="10" customWidth="1"/>
    <col min="8" max="8" width="10.1640625" customWidth="1"/>
    <col min="9" max="9" width="9.83203125" customWidth="1"/>
    <col min="10" max="10" width="9.1640625" customWidth="1"/>
    <col min="11" max="11" width="14.5" customWidth="1"/>
    <col min="12" max="12" width="9.5" customWidth="1"/>
    <col min="13" max="13" width="8.6640625" customWidth="1"/>
    <col min="14" max="18" width="9.1640625" customWidth="1"/>
    <col min="19" max="19" width="8.6640625" customWidth="1"/>
    <col min="20" max="37" width="9.1640625" customWidth="1"/>
    <col min="38" max="38" width="7.33203125" customWidth="1"/>
    <col min="39" max="39" width="9.1640625" customWidth="1"/>
    <col min="40" max="40" width="8.6640625" customWidth="1"/>
    <col min="41" max="52" width="9.1640625" customWidth="1"/>
    <col min="53" max="54" width="11.5" customWidth="1"/>
    <col min="55" max="55" width="9.1640625" customWidth="1"/>
    <col min="56" max="56" width="11" customWidth="1"/>
    <col min="57" max="57" width="10.6640625" customWidth="1"/>
    <col min="58" max="58" width="9.1640625" customWidth="1"/>
    <col min="59" max="59" width="11.5" customWidth="1"/>
    <col min="60" max="60" width="9.33203125" customWidth="1"/>
    <col min="61" max="69" width="9.1640625" customWidth="1"/>
    <col min="70" max="70" width="8" customWidth="1"/>
    <col min="71" max="71" width="6.5" customWidth="1"/>
    <col min="72" max="72" width="9" customWidth="1"/>
    <col min="73" max="75" width="9.1640625" customWidth="1"/>
    <col min="76" max="76" width="11.1640625" customWidth="1"/>
    <col min="77" max="88" width="9.1640625" customWidth="1"/>
    <col min="89" max="89" width="8.6640625" customWidth="1"/>
    <col min="90" max="96" width="9.1640625" customWidth="1"/>
    <col min="97" max="97" width="9.1640625" style="21" customWidth="1"/>
    <col min="98" max="98" width="9.5" customWidth="1"/>
    <col min="99" max="103" width="9.1640625" customWidth="1"/>
    <col min="104" max="104" width="9.83203125" customWidth="1"/>
    <col min="105" max="105" width="8.5" customWidth="1"/>
    <col min="106" max="106" width="6.6640625" customWidth="1"/>
    <col min="107" max="109" width="9.1640625" customWidth="1"/>
    <col min="110" max="110" width="10" customWidth="1"/>
    <col min="111" max="111" width="11.5" customWidth="1"/>
    <col min="112" max="112" width="9.1640625" customWidth="1"/>
    <col min="113" max="113" width="12.83203125" customWidth="1"/>
    <col min="114" max="114" width="11.5" customWidth="1"/>
    <col min="115" max="115" width="11.83203125" customWidth="1"/>
    <col min="116" max="116" width="11.5" customWidth="1"/>
    <col min="117" max="117" width="9.1640625" customWidth="1"/>
    <col min="118" max="118" width="11" customWidth="1"/>
    <col min="119" max="119" width="16.5" customWidth="1"/>
    <col min="120" max="120" width="10.83203125" customWidth="1"/>
    <col min="121" max="121" width="11.5" customWidth="1"/>
    <col min="122" max="122" width="9.6640625" customWidth="1"/>
    <col min="128" max="128" width="21.1640625" bestFit="1" customWidth="1"/>
  </cols>
  <sheetData>
    <row r="1" spans="1:135" hidden="1" x14ac:dyDescent="0.2">
      <c r="BF1" s="1" t="s">
        <v>0</v>
      </c>
      <c r="BG1" s="2">
        <v>173.05759816</v>
      </c>
      <c r="BH1" s="2">
        <v>49.745491389999998</v>
      </c>
      <c r="BI1" s="2">
        <v>48.37</v>
      </c>
      <c r="BJ1" s="2">
        <v>16.692</v>
      </c>
      <c r="BK1" s="2">
        <v>15.6408</v>
      </c>
      <c r="BL1" s="2">
        <v>175.90500159699999</v>
      </c>
      <c r="BM1" s="2">
        <v>508.34919422067566</v>
      </c>
      <c r="BN1" s="2">
        <f>SUM(BG1:BM1)</f>
        <v>987.76008536767563</v>
      </c>
      <c r="BO1" s="2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2" t="s">
        <v>1</v>
      </c>
      <c r="CT1" s="4">
        <v>1453.9499999999998</v>
      </c>
      <c r="CU1" s="4">
        <v>1777.05</v>
      </c>
      <c r="CV1" s="4"/>
      <c r="CW1" s="4"/>
      <c r="CX1" s="4"/>
      <c r="CY1" s="4"/>
      <c r="CZ1" s="4"/>
      <c r="DA1" s="4"/>
      <c r="DB1" s="4"/>
      <c r="DC1" s="4">
        <v>2100.1499999999996</v>
      </c>
      <c r="DD1" s="4">
        <v>2584.7999999999997</v>
      </c>
      <c r="DE1" s="4"/>
      <c r="DF1" s="4"/>
      <c r="DG1" s="4"/>
      <c r="DH1" s="4"/>
      <c r="DI1" s="4"/>
      <c r="DJ1" s="4"/>
      <c r="DK1" s="4"/>
      <c r="DL1" s="4"/>
      <c r="DM1" s="4"/>
      <c r="DN1" s="4"/>
      <c r="DO1" s="4">
        <v>2907.8999999999996</v>
      </c>
      <c r="DP1" s="4">
        <v>3230.9999999999995</v>
      </c>
      <c r="DQ1" s="3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>
        <v>508.34919422067566</v>
      </c>
      <c r="EE1" s="5">
        <v>987.76008536767563</v>
      </c>
    </row>
    <row r="2" spans="1:135" ht="14.25" hidden="1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/>
      <c r="AP2" s="8"/>
      <c r="AQ2" s="9"/>
      <c r="AR2" s="6"/>
      <c r="AS2" s="6"/>
      <c r="AT2" s="6"/>
      <c r="AU2" s="6"/>
      <c r="BF2" s="1" t="s">
        <v>2</v>
      </c>
      <c r="BG2" s="10">
        <v>0.45</v>
      </c>
      <c r="BH2" s="10">
        <v>0.55000000000000004</v>
      </c>
      <c r="BI2" s="10">
        <v>0.65</v>
      </c>
      <c r="BJ2" s="10">
        <v>0.8</v>
      </c>
      <c r="BK2" s="10">
        <v>0.9</v>
      </c>
      <c r="BL2" s="11">
        <v>1</v>
      </c>
      <c r="BM2" s="12"/>
      <c r="BN2" s="1"/>
      <c r="BO2" s="1"/>
      <c r="CS2" s="1" t="s">
        <v>3</v>
      </c>
      <c r="CT2" s="13">
        <v>1800</v>
      </c>
      <c r="CU2" s="13">
        <v>2200</v>
      </c>
      <c r="CV2" s="13"/>
      <c r="CW2" s="13"/>
      <c r="CX2" s="13"/>
      <c r="CY2" s="13"/>
      <c r="CZ2" s="13"/>
      <c r="DA2" s="13"/>
      <c r="DB2" s="13"/>
      <c r="DC2" s="13">
        <v>2600</v>
      </c>
      <c r="DD2" s="13">
        <v>3200</v>
      </c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>
        <v>3600</v>
      </c>
      <c r="DP2" s="13">
        <v>4000</v>
      </c>
    </row>
    <row r="3" spans="1:135" ht="14.25" hidden="1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/>
      <c r="AP3" s="8"/>
      <c r="AQ3" s="9"/>
      <c r="AR3" s="6"/>
      <c r="AS3" s="6"/>
      <c r="AT3" s="6"/>
      <c r="AU3" s="6"/>
      <c r="BF3" s="1"/>
      <c r="BG3" s="10"/>
      <c r="BH3" s="10"/>
      <c r="BI3" s="10"/>
      <c r="BJ3" s="10"/>
      <c r="BK3" s="10"/>
      <c r="BL3" s="10"/>
      <c r="BM3" s="1"/>
      <c r="BN3" s="1"/>
      <c r="BO3" s="1"/>
      <c r="CS3" s="1" t="s">
        <v>4</v>
      </c>
      <c r="CT3" s="13">
        <f>BK21</f>
        <v>247.26000000000002</v>
      </c>
      <c r="CU3" s="13">
        <f>BR20</f>
        <v>1990.03</v>
      </c>
      <c r="CV3" s="13"/>
      <c r="CW3" s="13"/>
      <c r="CX3" s="13"/>
      <c r="CY3" s="13"/>
      <c r="CZ3" s="13"/>
      <c r="DA3" s="13"/>
      <c r="DB3" s="13"/>
      <c r="DC3" s="13">
        <f>BY20</f>
        <v>2317.7899999999995</v>
      </c>
      <c r="DD3" s="13">
        <f>CF20</f>
        <v>2522</v>
      </c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 t="e">
        <f>#REF!</f>
        <v>#REF!</v>
      </c>
      <c r="DP3" s="13">
        <f>DP20</f>
        <v>3952.6852743870086</v>
      </c>
      <c r="DQ3" s="13" t="e">
        <f>DP3-DO3</f>
        <v>#REF!</v>
      </c>
    </row>
    <row r="4" spans="1:135" ht="14.25" hidden="1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  <c r="AP4" s="8"/>
      <c r="AQ4" s="9"/>
      <c r="AR4" s="6"/>
      <c r="AS4" s="6"/>
      <c r="AT4" s="6"/>
      <c r="AU4" s="6"/>
      <c r="BF4" s="1"/>
      <c r="BG4" s="10"/>
      <c r="BH4" s="10"/>
      <c r="BI4" s="10"/>
      <c r="BJ4" s="10"/>
      <c r="BK4" s="10"/>
      <c r="BL4" s="10"/>
      <c r="BM4" s="1"/>
      <c r="BN4" s="1"/>
      <c r="BO4" s="1"/>
      <c r="CS4" s="1" t="s">
        <v>5</v>
      </c>
      <c r="CT4" s="14">
        <f>BM20</f>
        <v>0.88453888888888887</v>
      </c>
      <c r="CU4" s="14">
        <f>BT20</f>
        <v>0.90455909090909092</v>
      </c>
      <c r="CV4" s="14"/>
      <c r="CW4" s="14"/>
      <c r="CX4" s="14"/>
      <c r="CY4" s="14"/>
      <c r="CZ4" s="14"/>
      <c r="DA4" s="14"/>
      <c r="DB4" s="14"/>
      <c r="DC4" s="14">
        <f>CA20</f>
        <v>0.89145769230769212</v>
      </c>
      <c r="DD4" s="14">
        <f>CH20</f>
        <v>0.78812499999999996</v>
      </c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>
        <f>CR20</f>
        <v>0.79448055555555563</v>
      </c>
      <c r="DP4" s="14">
        <f>DR20</f>
        <v>0.98817131859675211</v>
      </c>
      <c r="DQ4" s="13"/>
    </row>
    <row r="5" spans="1:135" ht="6.75" customHeight="1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15"/>
      <c r="L5" s="15"/>
      <c r="M5" s="15"/>
      <c r="N5" s="6"/>
      <c r="O5" s="16"/>
      <c r="P5" s="6"/>
      <c r="Q5" s="6"/>
      <c r="R5" s="6"/>
      <c r="S5" s="17"/>
      <c r="T5" s="6"/>
      <c r="U5" s="6"/>
      <c r="V5" s="6"/>
      <c r="W5" s="16"/>
      <c r="X5" s="6"/>
      <c r="Y5" s="6"/>
      <c r="Z5" s="6"/>
      <c r="AA5" s="17"/>
      <c r="AB5" s="6"/>
      <c r="AC5" s="6"/>
      <c r="AD5" s="18"/>
      <c r="AE5" s="6"/>
      <c r="AF5" s="6"/>
      <c r="AG5" s="6"/>
      <c r="AH5" s="6"/>
      <c r="AI5" s="17"/>
      <c r="AJ5" s="6"/>
      <c r="AK5" s="6"/>
      <c r="AL5" s="18"/>
      <c r="AM5" s="15"/>
      <c r="AN5" s="6"/>
      <c r="AO5" s="7"/>
      <c r="AP5" s="17"/>
      <c r="AQ5" s="19"/>
      <c r="AR5" s="6"/>
      <c r="AS5" s="6"/>
      <c r="AT5" s="6"/>
      <c r="AU5" s="18"/>
      <c r="AW5" s="17"/>
      <c r="AX5" s="17"/>
      <c r="AY5" s="17"/>
      <c r="BC5" s="17"/>
      <c r="BD5" s="18"/>
      <c r="BF5" s="20"/>
      <c r="BJ5" s="17"/>
      <c r="BK5" s="18"/>
      <c r="BQ5" s="17"/>
      <c r="BR5" s="18"/>
      <c r="BX5" s="17"/>
      <c r="BY5" s="18"/>
      <c r="CE5" s="17"/>
      <c r="CF5" s="18"/>
      <c r="CN5" s="17"/>
      <c r="CO5" s="17"/>
      <c r="CP5" s="18"/>
      <c r="CT5" s="17"/>
      <c r="CU5" s="17"/>
    </row>
    <row r="6" spans="1:135" s="29" customFormat="1" x14ac:dyDescent="0.2">
      <c r="A6" s="22"/>
      <c r="B6" s="22"/>
      <c r="C6" s="23"/>
      <c r="D6" s="22"/>
      <c r="E6" s="22"/>
      <c r="F6" s="22"/>
      <c r="G6" s="22"/>
      <c r="H6" s="22"/>
      <c r="I6" s="22"/>
      <c r="J6" s="22"/>
      <c r="K6" s="23"/>
      <c r="L6" s="22"/>
      <c r="M6" s="22"/>
      <c r="N6" s="23"/>
      <c r="O6" s="22"/>
      <c r="P6" s="22"/>
      <c r="Q6" s="22"/>
      <c r="R6" s="22"/>
      <c r="S6" s="23"/>
      <c r="T6" s="22"/>
      <c r="U6" s="22"/>
      <c r="V6" s="22"/>
      <c r="W6" s="22"/>
      <c r="X6" s="23"/>
      <c r="Y6" s="23"/>
      <c r="Z6" s="23"/>
      <c r="AA6" s="23"/>
      <c r="AB6" s="22"/>
      <c r="AC6" s="22"/>
      <c r="AD6" s="22"/>
      <c r="AE6" s="22"/>
      <c r="AF6" s="22"/>
      <c r="AG6" s="22"/>
      <c r="AH6" s="22"/>
      <c r="AI6" s="23"/>
      <c r="AJ6" s="22"/>
      <c r="AK6" s="22"/>
      <c r="AL6" s="24"/>
      <c r="AM6" s="22"/>
      <c r="AN6" s="22"/>
      <c r="AO6" s="25"/>
      <c r="AP6" s="22"/>
      <c r="AQ6" s="22"/>
      <c r="AR6" s="22"/>
      <c r="AS6" s="22"/>
      <c r="AT6" s="22"/>
      <c r="AU6" s="22"/>
      <c r="AV6" s="22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</row>
    <row r="7" spans="1:135" s="29" customFormat="1" ht="39.75" customHeight="1" x14ac:dyDescent="0.2">
      <c r="A7" s="30" t="s">
        <v>6</v>
      </c>
      <c r="B7" s="31" t="s">
        <v>7</v>
      </c>
      <c r="C7" s="31" t="s">
        <v>8</v>
      </c>
      <c r="D7" s="31" t="s">
        <v>9</v>
      </c>
      <c r="E7" s="31" t="s">
        <v>10</v>
      </c>
      <c r="F7" s="31" t="s">
        <v>11</v>
      </c>
      <c r="G7" s="31" t="s">
        <v>12</v>
      </c>
      <c r="H7" s="31" t="s">
        <v>13</v>
      </c>
      <c r="I7" s="31" t="s">
        <v>14</v>
      </c>
      <c r="J7" s="32" t="s">
        <v>15</v>
      </c>
      <c r="K7" s="33" t="s">
        <v>16</v>
      </c>
      <c r="L7" s="33" t="s">
        <v>17</v>
      </c>
      <c r="M7" s="32" t="s">
        <v>18</v>
      </c>
      <c r="N7" s="31" t="s">
        <v>19</v>
      </c>
      <c r="O7" s="34" t="s">
        <v>20</v>
      </c>
      <c r="P7" s="34" t="s">
        <v>21</v>
      </c>
      <c r="Q7" s="34" t="s">
        <v>22</v>
      </c>
      <c r="R7" s="34" t="s">
        <v>23</v>
      </c>
      <c r="S7" s="31" t="s">
        <v>24</v>
      </c>
      <c r="T7" s="31" t="s">
        <v>25</v>
      </c>
      <c r="U7" s="31" t="s">
        <v>26</v>
      </c>
      <c r="V7" s="34" t="s">
        <v>27</v>
      </c>
      <c r="W7" s="34" t="s">
        <v>28</v>
      </c>
      <c r="X7" s="34" t="s">
        <v>29</v>
      </c>
      <c r="Y7" s="34" t="s">
        <v>30</v>
      </c>
      <c r="Z7" s="34" t="s">
        <v>31</v>
      </c>
      <c r="AA7" s="31" t="s">
        <v>32</v>
      </c>
      <c r="AB7" s="31" t="s">
        <v>33</v>
      </c>
      <c r="AC7" s="31" t="s">
        <v>34</v>
      </c>
      <c r="AD7" s="34" t="s">
        <v>35</v>
      </c>
      <c r="AE7" s="34" t="s">
        <v>36</v>
      </c>
      <c r="AF7" s="34" t="s">
        <v>37</v>
      </c>
      <c r="AG7" s="34" t="s">
        <v>38</v>
      </c>
      <c r="AH7" s="34" t="s">
        <v>39</v>
      </c>
      <c r="AI7" s="31" t="s">
        <v>40</v>
      </c>
      <c r="AJ7" s="31" t="s">
        <v>41</v>
      </c>
      <c r="AK7" s="31" t="s">
        <v>42</v>
      </c>
      <c r="AL7" s="34" t="s">
        <v>43</v>
      </c>
      <c r="AM7" s="34" t="s">
        <v>44</v>
      </c>
      <c r="AN7" s="34" t="s">
        <v>45</v>
      </c>
      <c r="AO7" s="35" t="s">
        <v>46</v>
      </c>
      <c r="AP7" s="31" t="s">
        <v>47</v>
      </c>
      <c r="AQ7" s="31" t="s">
        <v>48</v>
      </c>
      <c r="AR7" s="31" t="s">
        <v>49</v>
      </c>
      <c r="AS7" s="34" t="s">
        <v>50</v>
      </c>
      <c r="AT7" s="35" t="s">
        <v>51</v>
      </c>
      <c r="AU7" s="34" t="s">
        <v>52</v>
      </c>
      <c r="AV7" s="34" t="s">
        <v>53</v>
      </c>
      <c r="AW7" s="31" t="s">
        <v>54</v>
      </c>
      <c r="AX7" s="31" t="s">
        <v>55</v>
      </c>
      <c r="AY7" s="31" t="s">
        <v>56</v>
      </c>
      <c r="AZ7" s="34" t="s">
        <v>57</v>
      </c>
      <c r="BA7" s="36" t="s">
        <v>58</v>
      </c>
      <c r="BB7" s="34" t="s">
        <v>59</v>
      </c>
      <c r="BC7" s="34" t="s">
        <v>60</v>
      </c>
      <c r="BD7" s="31" t="s">
        <v>61</v>
      </c>
      <c r="BE7" s="31" t="s">
        <v>62</v>
      </c>
      <c r="BF7" s="31" t="s">
        <v>63</v>
      </c>
      <c r="BG7" s="34" t="s">
        <v>64</v>
      </c>
      <c r="BH7" s="36" t="s">
        <v>65</v>
      </c>
      <c r="BI7" s="34" t="s">
        <v>66</v>
      </c>
      <c r="BJ7" s="34" t="s">
        <v>67</v>
      </c>
      <c r="BK7" s="31" t="s">
        <v>68</v>
      </c>
      <c r="BL7" s="31" t="s">
        <v>69</v>
      </c>
      <c r="BM7" s="31" t="s">
        <v>70</v>
      </c>
      <c r="BN7" s="34" t="s">
        <v>71</v>
      </c>
      <c r="BO7" s="36" t="s">
        <v>72</v>
      </c>
      <c r="BP7" s="34" t="s">
        <v>73</v>
      </c>
      <c r="BQ7" s="34" t="s">
        <v>74</v>
      </c>
      <c r="BR7" s="31" t="s">
        <v>75</v>
      </c>
      <c r="BS7" s="31" t="s">
        <v>76</v>
      </c>
      <c r="BT7" s="31" t="s">
        <v>77</v>
      </c>
      <c r="BU7" s="34" t="s">
        <v>78</v>
      </c>
      <c r="BV7" s="36" t="s">
        <v>79</v>
      </c>
      <c r="BW7" s="34" t="s">
        <v>80</v>
      </c>
      <c r="BX7" s="34" t="s">
        <v>81</v>
      </c>
      <c r="BY7" s="31" t="s">
        <v>82</v>
      </c>
      <c r="BZ7" s="31" t="s">
        <v>83</v>
      </c>
      <c r="CA7" s="31" t="s">
        <v>84</v>
      </c>
      <c r="CB7" s="34" t="s">
        <v>85</v>
      </c>
      <c r="CC7" s="36" t="s">
        <v>86</v>
      </c>
      <c r="CD7" s="34" t="s">
        <v>87</v>
      </c>
      <c r="CE7" s="34" t="s">
        <v>88</v>
      </c>
      <c r="CF7" s="31" t="s">
        <v>89</v>
      </c>
      <c r="CG7" s="31" t="s">
        <v>90</v>
      </c>
      <c r="CH7" s="31" t="s">
        <v>91</v>
      </c>
      <c r="CI7" s="34" t="s">
        <v>92</v>
      </c>
      <c r="CJ7" s="34" t="s">
        <v>93</v>
      </c>
      <c r="CK7" s="36" t="s">
        <v>94</v>
      </c>
      <c r="CL7" s="36" t="s">
        <v>95</v>
      </c>
      <c r="CM7" s="37" t="s">
        <v>96</v>
      </c>
      <c r="CN7" s="37" t="s">
        <v>97</v>
      </c>
      <c r="CO7" s="36" t="s">
        <v>98</v>
      </c>
      <c r="CP7" s="36" t="s">
        <v>99</v>
      </c>
      <c r="CQ7" s="36" t="s">
        <v>100</v>
      </c>
      <c r="CR7" s="36" t="s">
        <v>101</v>
      </c>
      <c r="CS7" s="34" t="s">
        <v>102</v>
      </c>
      <c r="CT7" s="34" t="s">
        <v>103</v>
      </c>
      <c r="CU7" s="34" t="s">
        <v>104</v>
      </c>
      <c r="CV7" s="36" t="s">
        <v>105</v>
      </c>
      <c r="CW7" s="36" t="s">
        <v>106</v>
      </c>
      <c r="CX7" s="36" t="s">
        <v>107</v>
      </c>
      <c r="CY7" s="36" t="s">
        <v>108</v>
      </c>
      <c r="CZ7" s="36" t="s">
        <v>109</v>
      </c>
      <c r="DA7" s="36" t="s">
        <v>110</v>
      </c>
      <c r="DB7" s="36" t="s">
        <v>15</v>
      </c>
      <c r="DC7" s="36" t="s">
        <v>111</v>
      </c>
      <c r="DD7" s="36" t="s">
        <v>112</v>
      </c>
      <c r="DE7" s="36" t="s">
        <v>113</v>
      </c>
      <c r="DF7" s="36" t="s">
        <v>114</v>
      </c>
      <c r="DG7" s="36" t="s">
        <v>115</v>
      </c>
      <c r="DH7" s="36" t="s">
        <v>116</v>
      </c>
      <c r="DI7" s="38" t="s">
        <v>117</v>
      </c>
      <c r="DJ7" s="38" t="s">
        <v>15</v>
      </c>
      <c r="DK7" s="38" t="s">
        <v>118</v>
      </c>
      <c r="DL7" s="36" t="s">
        <v>119</v>
      </c>
      <c r="DM7" s="38" t="s">
        <v>120</v>
      </c>
      <c r="DN7" s="38" t="s">
        <v>121</v>
      </c>
      <c r="DO7" s="36" t="s">
        <v>122</v>
      </c>
      <c r="DP7" s="39" t="s">
        <v>123</v>
      </c>
      <c r="DQ7" s="39" t="s">
        <v>124</v>
      </c>
      <c r="DR7" s="39" t="s">
        <v>125</v>
      </c>
    </row>
    <row r="8" spans="1:135" s="29" customFormat="1" x14ac:dyDescent="0.2">
      <c r="A8" s="40" t="s">
        <v>126</v>
      </c>
      <c r="B8" s="41">
        <v>1680.42</v>
      </c>
      <c r="C8" s="42">
        <v>1990</v>
      </c>
      <c r="D8" s="43">
        <v>1999.25</v>
      </c>
      <c r="E8" s="44">
        <v>1234.55</v>
      </c>
      <c r="F8" s="44">
        <v>755.45</v>
      </c>
      <c r="G8" s="45">
        <v>764.7</v>
      </c>
      <c r="H8" s="44">
        <v>1971.36</v>
      </c>
      <c r="I8" s="44">
        <v>736.81</v>
      </c>
      <c r="J8" s="44">
        <v>27.89</v>
      </c>
      <c r="K8" s="44">
        <v>1999.25</v>
      </c>
      <c r="L8" s="44">
        <v>764.7</v>
      </c>
      <c r="M8" s="44">
        <v>0</v>
      </c>
      <c r="N8" s="46">
        <v>102.88</v>
      </c>
      <c r="O8" s="46" t="s">
        <v>127</v>
      </c>
      <c r="P8" s="46">
        <v>99.96</v>
      </c>
      <c r="Q8" s="46">
        <v>8.14</v>
      </c>
      <c r="R8" s="46">
        <v>102.88</v>
      </c>
      <c r="S8" s="47">
        <v>111.02</v>
      </c>
      <c r="T8" s="48">
        <v>1.3212999999999999</v>
      </c>
      <c r="U8" s="49">
        <v>1.1106</v>
      </c>
      <c r="V8" s="46">
        <v>168.04</v>
      </c>
      <c r="W8" s="46">
        <v>199.93</v>
      </c>
      <c r="X8" s="46">
        <v>205.76</v>
      </c>
      <c r="Y8" s="46"/>
      <c r="Z8" s="46">
        <v>34.57</v>
      </c>
      <c r="AA8" s="47">
        <v>240.33</v>
      </c>
      <c r="AB8" s="48">
        <v>1.4301999999999999</v>
      </c>
      <c r="AC8" s="49">
        <v>1.2020999999999999</v>
      </c>
      <c r="AD8" s="50">
        <v>252.06</v>
      </c>
      <c r="AE8" s="46">
        <v>299.89</v>
      </c>
      <c r="AF8" s="46">
        <v>308.64</v>
      </c>
      <c r="AG8" s="46">
        <v>122.99</v>
      </c>
      <c r="AH8" s="9">
        <f t="shared" ref="AH8:AH19" si="0">AI8-AA8-N8</f>
        <v>62.330000000000013</v>
      </c>
      <c r="AI8" s="47">
        <v>405.54</v>
      </c>
      <c r="AJ8" s="48">
        <f>AI8/AD8</f>
        <v>1.608902642228041</v>
      </c>
      <c r="AK8" s="49">
        <f>AI8/AE8</f>
        <v>1.3522958418086632</v>
      </c>
      <c r="AL8" s="51">
        <f>B8*20%</f>
        <v>336.08400000000006</v>
      </c>
      <c r="AM8" s="46">
        <f>D8*20%</f>
        <v>399.85</v>
      </c>
      <c r="AN8" s="46">
        <f>N8*4</f>
        <v>411.52</v>
      </c>
      <c r="AO8" s="9">
        <f>AP8-AI8-N8</f>
        <v>54.180000000000007</v>
      </c>
      <c r="AP8" s="47">
        <v>562.6</v>
      </c>
      <c r="AQ8" s="48">
        <f t="shared" ref="AQ8:AQ20" si="1">AP8/AL8</f>
        <v>1.673986265338427</v>
      </c>
      <c r="AR8" s="49">
        <f t="shared" ref="AR8:AR20" si="2">AP8/AM8</f>
        <v>1.4070276353632611</v>
      </c>
      <c r="AS8" s="9">
        <f>S8*5</f>
        <v>555.1</v>
      </c>
      <c r="AT8" s="52">
        <f>10.58+2.42+18.2-8.77</f>
        <v>22.43</v>
      </c>
      <c r="AU8" s="9">
        <f>B8*25%</f>
        <v>420.10500000000002</v>
      </c>
      <c r="AV8" s="9">
        <f>D8*25%</f>
        <v>499.8125</v>
      </c>
      <c r="AW8" s="47">
        <v>691.52</v>
      </c>
      <c r="AX8" s="48">
        <f>AW8/AU8</f>
        <v>1.6460646743076135</v>
      </c>
      <c r="AY8" s="49">
        <f>AW8/AV8</f>
        <v>1.383558834562961</v>
      </c>
      <c r="AZ8" s="52">
        <f>N8*6</f>
        <v>617.28</v>
      </c>
      <c r="BA8" s="52">
        <f>BD8-AW8-N8</f>
        <v>12.610000000000014</v>
      </c>
      <c r="BB8" s="52">
        <f>B8*40%</f>
        <v>672.16800000000012</v>
      </c>
      <c r="BC8" s="52">
        <f>D8*40%</f>
        <v>799.7</v>
      </c>
      <c r="BD8" s="52">
        <v>807.01</v>
      </c>
      <c r="BE8" s="48">
        <f t="shared" ref="BE8:BE20" si="3">BD8/BB8</f>
        <v>1.2006075861986882</v>
      </c>
      <c r="BF8" s="49">
        <f>BD8/BC8</f>
        <v>1.0091409278479428</v>
      </c>
      <c r="BG8" s="52">
        <f>N8*7</f>
        <v>720.16</v>
      </c>
      <c r="BH8" s="52">
        <f>1.22+23</f>
        <v>24.22</v>
      </c>
      <c r="BI8" s="52">
        <f>B8*45%</f>
        <v>756.18900000000008</v>
      </c>
      <c r="BJ8" s="52">
        <f>D8*45%</f>
        <v>899.66250000000002</v>
      </c>
      <c r="BK8" s="47">
        <v>836.93</v>
      </c>
      <c r="BL8" s="48">
        <f t="shared" ref="BL8:BL20" si="4">BK8/BI8</f>
        <v>1.1067735711574751</v>
      </c>
      <c r="BM8" s="49">
        <f t="shared" ref="BM8:BM20" si="5">BK8/BJ8</f>
        <v>0.93027107387492525</v>
      </c>
      <c r="BN8" s="52">
        <f>N8*8</f>
        <v>823.04</v>
      </c>
      <c r="BO8" s="52">
        <v>83.57</v>
      </c>
      <c r="BP8" s="52">
        <f>B8*55%</f>
        <v>924.23100000000011</v>
      </c>
      <c r="BQ8" s="52">
        <f>D8*55%</f>
        <v>1099.5875000000001</v>
      </c>
      <c r="BR8" s="52">
        <v>1095.42</v>
      </c>
      <c r="BS8" s="48">
        <f>BR8/BP8</f>
        <v>1.1852231747257991</v>
      </c>
      <c r="BT8" s="49">
        <f t="shared" ref="BT8:BT20" si="6">BR8/BQ8</f>
        <v>0.99620994236475036</v>
      </c>
      <c r="BU8" s="52">
        <f>N8*9</f>
        <v>925.92</v>
      </c>
      <c r="BV8" s="52">
        <v>5.22</v>
      </c>
      <c r="BW8" s="52">
        <f>B8*65%</f>
        <v>1092.2730000000001</v>
      </c>
      <c r="BX8" s="52">
        <f>D8*65%</f>
        <v>1299.5125</v>
      </c>
      <c r="BY8" s="47">
        <v>1267.1199999999999</v>
      </c>
      <c r="BZ8" s="48">
        <f>BY8/BW8</f>
        <v>1.1600762812959762</v>
      </c>
      <c r="CA8" s="49">
        <f>BY8/BX8</f>
        <v>0.9750733448119967</v>
      </c>
      <c r="CB8" s="52">
        <f>N8*10</f>
        <v>1028.8</v>
      </c>
      <c r="CC8" s="52">
        <f t="shared" ref="CC8:CC19" si="7">CF8-BY8--N8</f>
        <v>251.5200000000001</v>
      </c>
      <c r="CD8" s="47">
        <f>B8*80%</f>
        <v>1344.3360000000002</v>
      </c>
      <c r="CE8" s="47">
        <f>D8*80%</f>
        <v>1599.4</v>
      </c>
      <c r="CF8" s="47">
        <v>1415.76</v>
      </c>
      <c r="CG8" s="47">
        <f>CF8/CD8</f>
        <v>1.0531295747491696</v>
      </c>
      <c r="CH8" s="47">
        <f>CF8/CE8</f>
        <v>0.88518194322871069</v>
      </c>
      <c r="CI8" s="52">
        <f>N8*11</f>
        <v>1131.6799999999998</v>
      </c>
      <c r="CJ8" s="52">
        <f>CP8-CI8</f>
        <v>457.18000000000006</v>
      </c>
      <c r="CK8" s="53">
        <v>6.42</v>
      </c>
      <c r="CL8" s="53" t="s">
        <v>128</v>
      </c>
      <c r="CM8" s="52">
        <f>B8*90%</f>
        <v>1512.3780000000002</v>
      </c>
      <c r="CN8" s="52">
        <f t="shared" ref="CN8:CN20" si="8">D8*90%</f>
        <v>1799.325</v>
      </c>
      <c r="CO8" s="52">
        <v>1525.06</v>
      </c>
      <c r="CP8" s="52">
        <v>1588.86</v>
      </c>
      <c r="CQ8" s="54">
        <f>CP8/CM8</f>
        <v>1.050570690660668</v>
      </c>
      <c r="CR8" s="54">
        <f>CP8/CN8</f>
        <v>0.88303113667625355</v>
      </c>
      <c r="CS8" s="55">
        <v>1680.42</v>
      </c>
      <c r="CT8" s="55">
        <v>1999.25</v>
      </c>
      <c r="CU8" s="9">
        <v>1234.55</v>
      </c>
      <c r="CV8" s="56">
        <f>N8*8</f>
        <v>823.04</v>
      </c>
      <c r="CW8" s="56">
        <f t="shared" ref="CW8:CW19" si="9">BR8-CV8</f>
        <v>272.38000000000011</v>
      </c>
      <c r="CX8" s="56">
        <f>BR8-CV8</f>
        <v>272.38000000000011</v>
      </c>
      <c r="CY8" s="56">
        <f t="shared" ref="CY8:CY13" si="10">N8*4</f>
        <v>411.52</v>
      </c>
      <c r="CZ8" s="56">
        <v>508.44999999999982</v>
      </c>
      <c r="DA8" s="56">
        <f>BR8+CY8+CZ8</f>
        <v>2015.3899999999999</v>
      </c>
      <c r="DB8" s="56">
        <f t="shared" ref="DB8:DB20" si="11">DA8-CT8</f>
        <v>16.139999999999873</v>
      </c>
      <c r="DC8" s="56">
        <v>764.78</v>
      </c>
      <c r="DD8" s="55"/>
      <c r="DE8" s="57">
        <f>20+85.84</f>
        <v>105.84</v>
      </c>
      <c r="DF8" s="55">
        <v>205.76</v>
      </c>
      <c r="DG8" s="55">
        <v>254.87440011518913</v>
      </c>
      <c r="DH8" s="55">
        <f>CP8+N8</f>
        <v>1691.7399999999998</v>
      </c>
      <c r="DI8" s="57">
        <v>1876.3944001151892</v>
      </c>
      <c r="DJ8" s="57">
        <f t="shared" ref="DJ8:DJ19" si="12">DI8-CP8</f>
        <v>287.53440011518933</v>
      </c>
      <c r="DK8" s="57">
        <v>1733.7799999999997</v>
      </c>
      <c r="DL8" s="57">
        <f>DI8-DK8</f>
        <v>142.61440011518948</v>
      </c>
      <c r="DM8" s="58">
        <f>DK8/CS8</f>
        <v>1.031753966270337</v>
      </c>
      <c r="DN8" s="58">
        <f>DK8/CT8</f>
        <v>0.86721520570213817</v>
      </c>
      <c r="DO8" s="46">
        <f>AW8+(N8*7)</f>
        <v>1411.6799999999998</v>
      </c>
      <c r="DP8" s="9">
        <v>1999.34</v>
      </c>
      <c r="DQ8" s="50">
        <f>DP8/CS8</f>
        <v>1.1897858868616178</v>
      </c>
      <c r="DR8" s="50">
        <f>DP8/CT8</f>
        <v>1.0000450168813304</v>
      </c>
    </row>
    <row r="9" spans="1:135" s="29" customFormat="1" ht="15.75" customHeight="1" x14ac:dyDescent="0.2">
      <c r="A9" s="40" t="s">
        <v>129</v>
      </c>
      <c r="B9" s="41">
        <v>1151.42</v>
      </c>
      <c r="C9" s="42">
        <v>1387</v>
      </c>
      <c r="D9" s="43">
        <v>1396.25</v>
      </c>
      <c r="E9" s="42">
        <v>717</v>
      </c>
      <c r="F9" s="44">
        <v>670</v>
      </c>
      <c r="G9" s="45">
        <v>679.25</v>
      </c>
      <c r="H9" s="44">
        <v>1381</v>
      </c>
      <c r="I9" s="44">
        <v>664</v>
      </c>
      <c r="J9" s="44">
        <v>15.25</v>
      </c>
      <c r="K9" s="44">
        <v>1331.86</v>
      </c>
      <c r="L9" s="44">
        <v>614.86</v>
      </c>
      <c r="M9" s="59">
        <v>64.39</v>
      </c>
      <c r="N9" s="46">
        <v>59.75</v>
      </c>
      <c r="O9" s="46">
        <v>57.57</v>
      </c>
      <c r="P9" s="46">
        <v>69.81</v>
      </c>
      <c r="Q9" s="46">
        <v>5.28</v>
      </c>
      <c r="R9" s="46">
        <v>59.75</v>
      </c>
      <c r="S9" s="47">
        <v>65.03</v>
      </c>
      <c r="T9" s="48">
        <v>1.1295999999999999</v>
      </c>
      <c r="U9" s="49">
        <v>0.93149999999999999</v>
      </c>
      <c r="V9" s="46">
        <v>115.14</v>
      </c>
      <c r="W9" s="46">
        <v>139.63</v>
      </c>
      <c r="X9" s="46">
        <v>119.5</v>
      </c>
      <c r="Y9" s="46"/>
      <c r="Z9" s="46">
        <v>10.93</v>
      </c>
      <c r="AA9" s="47">
        <v>130.43</v>
      </c>
      <c r="AB9" s="48">
        <v>1.1328</v>
      </c>
      <c r="AC9" s="49">
        <v>0.93410000000000004</v>
      </c>
      <c r="AD9" s="50">
        <v>172.71</v>
      </c>
      <c r="AE9" s="46">
        <v>209.44</v>
      </c>
      <c r="AF9" s="46">
        <v>179.25</v>
      </c>
      <c r="AG9" s="9">
        <v>0</v>
      </c>
      <c r="AH9" s="9">
        <f t="shared" si="0"/>
        <v>11.530000000000001</v>
      </c>
      <c r="AI9" s="47">
        <v>201.71</v>
      </c>
      <c r="AJ9" s="48">
        <f t="shared" ref="AJ9:AJ19" si="13">AI9/AD9</f>
        <v>1.1679115279949048</v>
      </c>
      <c r="AK9" s="49">
        <f t="shared" ref="AK9:AK19" si="14">AI9/AE9</f>
        <v>0.96309205500381978</v>
      </c>
      <c r="AL9" s="51">
        <f t="shared" ref="AL9:AL19" si="15">B9*20%</f>
        <v>230.28400000000002</v>
      </c>
      <c r="AM9" s="46">
        <f t="shared" ref="AM9:AM19" si="16">D9*20%</f>
        <v>279.25</v>
      </c>
      <c r="AN9" s="46">
        <f t="shared" ref="AN9:AN19" si="17">N9*4</f>
        <v>239</v>
      </c>
      <c r="AO9" s="9">
        <f t="shared" ref="AO9:AO19" si="18">AP9-AI9-N9</f>
        <v>24.559999999999974</v>
      </c>
      <c r="AP9" s="47">
        <v>286.02</v>
      </c>
      <c r="AQ9" s="48">
        <f t="shared" si="1"/>
        <v>1.2420315783988465</v>
      </c>
      <c r="AR9" s="49">
        <f t="shared" si="2"/>
        <v>1.0242435094001789</v>
      </c>
      <c r="AS9" s="9">
        <f t="shared" ref="AS9:AS19" si="19">S9*5</f>
        <v>325.14999999999998</v>
      </c>
      <c r="AT9" s="52">
        <v>10.24</v>
      </c>
      <c r="AU9" s="9">
        <f t="shared" ref="AU9:AU19" si="20">B9*25%</f>
        <v>287.85500000000002</v>
      </c>
      <c r="AV9" s="9">
        <f t="shared" ref="AV9:AV19" si="21">D9*25%</f>
        <v>349.0625</v>
      </c>
      <c r="AW9" s="47">
        <v>356.26</v>
      </c>
      <c r="AX9" s="48">
        <f t="shared" ref="AX9:AX20" si="22">AW9/AU9</f>
        <v>1.2376370047419707</v>
      </c>
      <c r="AY9" s="49">
        <f t="shared" ref="AY9:AY20" si="23">AW9/AV9</f>
        <v>1.0206195165622203</v>
      </c>
      <c r="AZ9" s="52">
        <f t="shared" ref="AZ9:AZ19" si="24">N9*6</f>
        <v>358.5</v>
      </c>
      <c r="BA9" s="52">
        <f t="shared" ref="BA9:BA19" si="25">BD9-AW9-N9</f>
        <v>41.230000000000018</v>
      </c>
      <c r="BB9" s="52">
        <f>B9*40%</f>
        <v>460.56800000000004</v>
      </c>
      <c r="BC9" s="52">
        <f t="shared" ref="BC9:BC19" si="26">D9*40%</f>
        <v>558.5</v>
      </c>
      <c r="BD9" s="52">
        <v>457.24</v>
      </c>
      <c r="BE9" s="48">
        <f t="shared" si="3"/>
        <v>0.9927741397578641</v>
      </c>
      <c r="BF9" s="49">
        <f t="shared" ref="BF9:BF19" si="27">BD9/BC9</f>
        <v>0.81869292748433309</v>
      </c>
      <c r="BG9" s="52">
        <f t="shared" ref="BG9:BG19" si="28">N9*7</f>
        <v>418.25</v>
      </c>
      <c r="BH9" s="52">
        <v>23.49</v>
      </c>
      <c r="BI9" s="52">
        <f t="shared" ref="BI9:BI19" si="29">B9*45%</f>
        <v>518.13900000000001</v>
      </c>
      <c r="BJ9" s="52">
        <f t="shared" ref="BJ9:BJ19" si="30">D9*45%</f>
        <v>628.3125</v>
      </c>
      <c r="BK9" s="47">
        <v>507.99</v>
      </c>
      <c r="BL9" s="48">
        <f t="shared" si="4"/>
        <v>0.98041259198786423</v>
      </c>
      <c r="BM9" s="49">
        <f t="shared" si="5"/>
        <v>0.80849895553566098</v>
      </c>
      <c r="BN9" s="52">
        <f t="shared" ref="BN9:BN20" si="31">N9*8</f>
        <v>478</v>
      </c>
      <c r="BO9" s="52">
        <v>10.050000000000001</v>
      </c>
      <c r="BP9" s="52">
        <f t="shared" ref="BP9:BP20" si="32">B9*55%</f>
        <v>633.28100000000006</v>
      </c>
      <c r="BQ9" s="52">
        <f t="shared" ref="BQ9:BQ20" si="33">D9*55%</f>
        <v>767.93750000000011</v>
      </c>
      <c r="BR9" s="52">
        <v>607.46</v>
      </c>
      <c r="BS9" s="48">
        <f t="shared" ref="BS9:BS19" si="34">BR9/BP9</f>
        <v>0.95922663083212667</v>
      </c>
      <c r="BT9" s="49">
        <f t="shared" si="6"/>
        <v>0.79102791568324238</v>
      </c>
      <c r="BU9" s="52">
        <f t="shared" ref="BU9:BU20" si="35">N9*9</f>
        <v>537.75</v>
      </c>
      <c r="BV9" s="52">
        <v>6.77</v>
      </c>
      <c r="BW9" s="52">
        <f t="shared" ref="BW9:BW20" si="36">B9*65%</f>
        <v>748.42300000000012</v>
      </c>
      <c r="BX9" s="52">
        <f t="shared" ref="BX9:BX20" si="37">D9*65%</f>
        <v>907.5625</v>
      </c>
      <c r="BY9" s="47">
        <v>702.08</v>
      </c>
      <c r="BZ9" s="48">
        <f t="shared" ref="BZ9:BZ19" si="38">BY9/BW9</f>
        <v>0.93807913439325075</v>
      </c>
      <c r="CA9" s="49">
        <f t="shared" ref="CA9:CA19" si="39">BY9/BX9</f>
        <v>0.77358859582673378</v>
      </c>
      <c r="CB9" s="52">
        <f t="shared" ref="CB9:CB20" si="40">N9*10</f>
        <v>597.5</v>
      </c>
      <c r="CC9" s="52">
        <f t="shared" si="7"/>
        <v>118.40999999999997</v>
      </c>
      <c r="CD9" s="47">
        <f t="shared" ref="CD9:CD20" si="41">B9*80%</f>
        <v>921.13600000000008</v>
      </c>
      <c r="CE9" s="47">
        <f t="shared" ref="CE9:CE20" si="42">D9*80%</f>
        <v>1117</v>
      </c>
      <c r="CF9" s="47">
        <v>760.74</v>
      </c>
      <c r="CG9" s="47">
        <f t="shared" ref="CG9:CG19" si="43">CF9/CD9</f>
        <v>0.82587153254242585</v>
      </c>
      <c r="CH9" s="47">
        <f t="shared" ref="CH9:CH19" si="44">CF9/CE9</f>
        <v>0.68105640107430621</v>
      </c>
      <c r="CI9" s="52">
        <f t="shared" ref="CI9:CI20" si="45">N9*11</f>
        <v>657.25</v>
      </c>
      <c r="CJ9" s="52">
        <f t="shared" ref="CJ9:CJ19" si="46">CP9-CI9</f>
        <v>221.89</v>
      </c>
      <c r="CK9" s="53">
        <v>96.12</v>
      </c>
      <c r="CL9" s="53">
        <v>94.18</v>
      </c>
      <c r="CM9" s="52">
        <f t="shared" ref="CM9:CM20" si="47">B9*90%</f>
        <v>1036.278</v>
      </c>
      <c r="CN9" s="52">
        <f t="shared" si="8"/>
        <v>1256.625</v>
      </c>
      <c r="CO9" s="52">
        <v>916.61</v>
      </c>
      <c r="CP9" s="52">
        <v>879.14</v>
      </c>
      <c r="CQ9" s="54">
        <f t="shared" ref="CQ9:CQ19" si="48">CP9/CM9</f>
        <v>0.84836308403729499</v>
      </c>
      <c r="CR9" s="54">
        <f t="shared" ref="CR9:CR19" si="49">CP9/CN9</f>
        <v>0.69960409827912062</v>
      </c>
      <c r="CS9" s="55">
        <v>1151.42</v>
      </c>
      <c r="CT9" s="55">
        <v>1396.25</v>
      </c>
      <c r="CU9" s="9">
        <v>717</v>
      </c>
      <c r="CV9" s="56">
        <f t="shared" ref="CV9:CV19" si="50">N9*8</f>
        <v>478</v>
      </c>
      <c r="CW9" s="56">
        <f t="shared" si="9"/>
        <v>129.46000000000004</v>
      </c>
      <c r="CX9" s="56">
        <f>BR9-CV9</f>
        <v>129.46000000000004</v>
      </c>
      <c r="CY9" s="56">
        <f t="shared" si="10"/>
        <v>239</v>
      </c>
      <c r="CZ9" s="56">
        <v>550.62442436067568</v>
      </c>
      <c r="DA9" s="56">
        <f>BR9+CY9+CZ9</f>
        <v>1397.0844243606757</v>
      </c>
      <c r="DB9" s="56">
        <f t="shared" si="11"/>
        <v>0.8344243606757118</v>
      </c>
      <c r="DC9" s="56">
        <v>630.07042520467564</v>
      </c>
      <c r="DD9" s="55"/>
      <c r="DE9" s="57">
        <f>148.19+34.08</f>
        <v>182.26999999999998</v>
      </c>
      <c r="DF9" s="55">
        <v>119.5</v>
      </c>
      <c r="DG9" s="55">
        <v>229.5622748248</v>
      </c>
      <c r="DH9" s="55">
        <f t="shared" ref="DH9:DH19" si="51">CP9+N9</f>
        <v>938.89</v>
      </c>
      <c r="DI9" s="57">
        <v>1109.8022748248</v>
      </c>
      <c r="DJ9" s="57">
        <f t="shared" si="12"/>
        <v>230.66227482479997</v>
      </c>
      <c r="DK9" s="57">
        <v>1158.6300000000001</v>
      </c>
      <c r="DL9" s="57">
        <f t="shared" ref="DL9:DL19" si="52">DI9-DK9</f>
        <v>-48.827725175200158</v>
      </c>
      <c r="DM9" s="58">
        <f t="shared" ref="DM9:DM19" si="53">DK9/CS9</f>
        <v>1.0062618332146394</v>
      </c>
      <c r="DN9" s="58">
        <f t="shared" ref="DN9:DN20" si="54">DK9/CT9</f>
        <v>0.82981557743957035</v>
      </c>
      <c r="DO9" s="46">
        <f t="shared" ref="DO9:DO19" si="55">AW9+(N9*7)</f>
        <v>774.51</v>
      </c>
      <c r="DP9" s="9">
        <v>1412.6244243606757</v>
      </c>
      <c r="DQ9" s="50">
        <f>DP9/CS9</f>
        <v>1.2268541664732899</v>
      </c>
      <c r="DR9" s="50">
        <f>DP9/CT9</f>
        <v>1.0117274301598393</v>
      </c>
    </row>
    <row r="10" spans="1:135" s="29" customFormat="1" x14ac:dyDescent="0.2">
      <c r="A10" s="40" t="s">
        <v>130</v>
      </c>
      <c r="B10" s="41">
        <v>31.46</v>
      </c>
      <c r="C10" s="42">
        <v>48</v>
      </c>
      <c r="D10" s="43">
        <v>60.25</v>
      </c>
      <c r="E10" s="42">
        <v>6.46</v>
      </c>
      <c r="F10" s="44">
        <v>41.54</v>
      </c>
      <c r="G10" s="45">
        <v>53.79</v>
      </c>
      <c r="H10" s="44">
        <v>38.46</v>
      </c>
      <c r="I10" s="44">
        <v>32</v>
      </c>
      <c r="J10" s="44">
        <v>21.79</v>
      </c>
      <c r="K10" s="44">
        <v>60.25</v>
      </c>
      <c r="L10" s="44">
        <v>53.79</v>
      </c>
      <c r="M10" s="44">
        <v>0</v>
      </c>
      <c r="N10" s="46">
        <v>0.54</v>
      </c>
      <c r="O10" s="46">
        <v>1.57</v>
      </c>
      <c r="P10" s="46">
        <v>3.01</v>
      </c>
      <c r="Q10" s="60" t="s">
        <v>131</v>
      </c>
      <c r="R10" s="46">
        <v>0.54</v>
      </c>
      <c r="S10" s="47">
        <v>0.4</v>
      </c>
      <c r="T10" s="48">
        <v>0.25430000000000003</v>
      </c>
      <c r="U10" s="49">
        <v>0.1328</v>
      </c>
      <c r="V10" s="46">
        <v>3.15</v>
      </c>
      <c r="W10" s="46">
        <v>6.03</v>
      </c>
      <c r="X10" s="46">
        <v>1.08</v>
      </c>
      <c r="Y10" s="46"/>
      <c r="Z10" s="46">
        <v>-0.32</v>
      </c>
      <c r="AA10" s="47">
        <v>0.76</v>
      </c>
      <c r="AB10" s="48">
        <v>0.24160000000000001</v>
      </c>
      <c r="AC10" s="49">
        <v>0.12609999999999999</v>
      </c>
      <c r="AD10" s="50">
        <v>4.72</v>
      </c>
      <c r="AE10" s="46">
        <v>9.0399999999999991</v>
      </c>
      <c r="AF10" s="46">
        <v>1.62</v>
      </c>
      <c r="AG10" s="9">
        <v>31.88</v>
      </c>
      <c r="AH10" s="9">
        <f t="shared" si="0"/>
        <v>-0.32000000000000006</v>
      </c>
      <c r="AI10" s="47">
        <v>0.98</v>
      </c>
      <c r="AJ10" s="48">
        <f t="shared" si="13"/>
        <v>0.2076271186440678</v>
      </c>
      <c r="AK10" s="49">
        <f t="shared" si="14"/>
        <v>0.1084070796460177</v>
      </c>
      <c r="AL10" s="51">
        <f t="shared" si="15"/>
        <v>6.2920000000000007</v>
      </c>
      <c r="AM10" s="46">
        <f t="shared" si="16"/>
        <v>12.05</v>
      </c>
      <c r="AN10" s="46">
        <f t="shared" si="17"/>
        <v>2.16</v>
      </c>
      <c r="AO10" s="9">
        <f t="shared" si="18"/>
        <v>-0.24</v>
      </c>
      <c r="AP10" s="47">
        <v>1.28</v>
      </c>
      <c r="AQ10" s="48">
        <f t="shared" si="1"/>
        <v>0.20343293070565796</v>
      </c>
      <c r="AR10" s="49">
        <f t="shared" si="2"/>
        <v>0.10622406639004149</v>
      </c>
      <c r="AS10" s="9">
        <f t="shared" si="19"/>
        <v>2</v>
      </c>
      <c r="AT10" s="52">
        <v>2.6760523580000002</v>
      </c>
      <c r="AU10" s="9">
        <f t="shared" si="20"/>
        <v>7.8650000000000002</v>
      </c>
      <c r="AV10" s="9">
        <f t="shared" si="21"/>
        <v>15.0625</v>
      </c>
      <c r="AW10" s="47">
        <v>1.57</v>
      </c>
      <c r="AX10" s="48">
        <f t="shared" si="22"/>
        <v>0.19961856325492688</v>
      </c>
      <c r="AY10" s="49">
        <f t="shared" si="23"/>
        <v>0.10423236514522823</v>
      </c>
      <c r="AZ10" s="52">
        <f t="shared" si="24"/>
        <v>3.24</v>
      </c>
      <c r="BA10" s="52">
        <f t="shared" si="25"/>
        <v>0.17999999999999994</v>
      </c>
      <c r="BB10" s="52">
        <f t="shared" ref="BB10:BB19" si="56">B10*40%</f>
        <v>12.584000000000001</v>
      </c>
      <c r="BC10" s="52">
        <f t="shared" si="26"/>
        <v>24.1</v>
      </c>
      <c r="BD10" s="52">
        <v>2.29</v>
      </c>
      <c r="BE10" s="48">
        <f t="shared" si="3"/>
        <v>0.1819771137952956</v>
      </c>
      <c r="BF10" s="49">
        <f t="shared" si="27"/>
        <v>9.50207468879668E-2</v>
      </c>
      <c r="BG10" s="52">
        <f t="shared" si="28"/>
        <v>3.7800000000000002</v>
      </c>
      <c r="BH10" s="52">
        <v>0</v>
      </c>
      <c r="BI10" s="52">
        <f t="shared" si="29"/>
        <v>14.157</v>
      </c>
      <c r="BJ10" s="52">
        <f t="shared" si="30"/>
        <v>27.112500000000001</v>
      </c>
      <c r="BK10" s="47">
        <v>8.42</v>
      </c>
      <c r="BL10" s="48">
        <f t="shared" si="4"/>
        <v>0.59475877657695841</v>
      </c>
      <c r="BM10" s="49">
        <f t="shared" si="5"/>
        <v>0.31055786076532965</v>
      </c>
      <c r="BN10" s="52">
        <f t="shared" si="31"/>
        <v>4.32</v>
      </c>
      <c r="BO10" s="52">
        <v>0.09</v>
      </c>
      <c r="BP10" s="52">
        <f t="shared" si="32"/>
        <v>17.303000000000001</v>
      </c>
      <c r="BQ10" s="52">
        <f t="shared" si="33"/>
        <v>33.137500000000003</v>
      </c>
      <c r="BR10" s="52">
        <v>10.29</v>
      </c>
      <c r="BS10" s="48">
        <f t="shared" si="34"/>
        <v>0.59469456163671031</v>
      </c>
      <c r="BT10" s="49">
        <f t="shared" si="6"/>
        <v>0.31052433044134281</v>
      </c>
      <c r="BU10" s="52">
        <f t="shared" si="35"/>
        <v>4.8600000000000003</v>
      </c>
      <c r="BV10" s="52">
        <v>0</v>
      </c>
      <c r="BW10" s="52">
        <f t="shared" si="36"/>
        <v>20.449000000000002</v>
      </c>
      <c r="BX10" s="52">
        <f t="shared" si="37"/>
        <v>39.162500000000001</v>
      </c>
      <c r="BY10" s="47">
        <v>14.75</v>
      </c>
      <c r="BZ10" s="48">
        <f t="shared" si="38"/>
        <v>0.72130666536260934</v>
      </c>
      <c r="CA10" s="49">
        <f t="shared" si="39"/>
        <v>0.37663581232045962</v>
      </c>
      <c r="CB10" s="52">
        <f t="shared" si="40"/>
        <v>5.4</v>
      </c>
      <c r="CC10" s="52">
        <f t="shared" si="7"/>
        <v>0.13999999999999968</v>
      </c>
      <c r="CD10" s="47">
        <f t="shared" si="41"/>
        <v>25.168000000000003</v>
      </c>
      <c r="CE10" s="47">
        <f t="shared" si="42"/>
        <v>48.2</v>
      </c>
      <c r="CF10" s="47">
        <v>14.35</v>
      </c>
      <c r="CG10" s="47">
        <f t="shared" si="43"/>
        <v>0.57016846789574049</v>
      </c>
      <c r="CH10" s="47">
        <f t="shared" si="44"/>
        <v>0.29771784232365145</v>
      </c>
      <c r="CI10" s="52">
        <f t="shared" si="45"/>
        <v>5.94</v>
      </c>
      <c r="CJ10" s="52">
        <f t="shared" si="46"/>
        <v>8.93</v>
      </c>
      <c r="CK10" s="55">
        <v>1.47</v>
      </c>
      <c r="CL10" s="55">
        <v>1.47</v>
      </c>
      <c r="CM10" s="52">
        <f t="shared" si="47"/>
        <v>28.314</v>
      </c>
      <c r="CN10" s="52">
        <f t="shared" si="8"/>
        <v>54.225000000000001</v>
      </c>
      <c r="CO10" s="52">
        <v>16.36</v>
      </c>
      <c r="CP10" s="52">
        <v>14.87</v>
      </c>
      <c r="CQ10" s="54">
        <f t="shared" si="48"/>
        <v>0.52518188881825245</v>
      </c>
      <c r="CR10" s="54">
        <f t="shared" si="49"/>
        <v>0.27422775472568001</v>
      </c>
      <c r="CS10" s="55">
        <v>31.46</v>
      </c>
      <c r="CT10" s="55">
        <v>60.25</v>
      </c>
      <c r="CU10" s="9">
        <v>6.46</v>
      </c>
      <c r="CV10" s="56">
        <f t="shared" si="50"/>
        <v>4.32</v>
      </c>
      <c r="CW10" s="56">
        <f t="shared" si="9"/>
        <v>5.9699999999999989</v>
      </c>
      <c r="CX10" s="56">
        <f>BR10-CV10</f>
        <v>5.9699999999999989</v>
      </c>
      <c r="CY10" s="56">
        <f t="shared" si="10"/>
        <v>2.16</v>
      </c>
      <c r="CZ10" s="56">
        <v>13.68</v>
      </c>
      <c r="DA10" s="56">
        <f>BR10+CY10+CZ10</f>
        <v>26.13</v>
      </c>
      <c r="DB10" s="56">
        <f t="shared" si="11"/>
        <v>-34.120000000000005</v>
      </c>
      <c r="DC10" s="56">
        <v>28.683371064999999</v>
      </c>
      <c r="DD10" s="55"/>
      <c r="DE10" s="57">
        <v>0</v>
      </c>
      <c r="DF10" s="55">
        <f t="shared" ref="DF10:DF13" si="57">N10*2</f>
        <v>1.08</v>
      </c>
      <c r="DG10" s="55">
        <v>0</v>
      </c>
      <c r="DH10" s="55">
        <f t="shared" si="51"/>
        <v>15.41</v>
      </c>
      <c r="DI10" s="57">
        <f>CF10+DF10+DG10</f>
        <v>15.43</v>
      </c>
      <c r="DJ10" s="57">
        <f t="shared" si="12"/>
        <v>0.5600000000000005</v>
      </c>
      <c r="DK10" s="57">
        <v>16.899999999999999</v>
      </c>
      <c r="DL10" s="57">
        <f t="shared" si="52"/>
        <v>-1.4699999999999989</v>
      </c>
      <c r="DM10" s="58">
        <f t="shared" si="53"/>
        <v>0.53719008264462809</v>
      </c>
      <c r="DN10" s="58">
        <f t="shared" si="54"/>
        <v>0.28049792531120332</v>
      </c>
      <c r="DO10" s="46">
        <f t="shared" si="55"/>
        <v>5.3500000000000005</v>
      </c>
      <c r="DP10" s="9">
        <v>35.290066189000001</v>
      </c>
      <c r="DQ10" s="50">
        <f>DP10/CS10</f>
        <v>1.1217439983788939</v>
      </c>
      <c r="DR10" s="50">
        <f>DP10/CT10</f>
        <v>0.58572723965145235</v>
      </c>
    </row>
    <row r="11" spans="1:135" s="29" customFormat="1" x14ac:dyDescent="0.2">
      <c r="A11" s="40" t="s">
        <v>132</v>
      </c>
      <c r="B11" s="41">
        <v>34.200000000000003</v>
      </c>
      <c r="C11" s="42">
        <v>50</v>
      </c>
      <c r="D11" s="43">
        <v>59.25</v>
      </c>
      <c r="E11" s="42">
        <v>21.25</v>
      </c>
      <c r="F11" s="44">
        <v>28.75</v>
      </c>
      <c r="G11" s="61">
        <v>38</v>
      </c>
      <c r="H11" s="44">
        <v>36.130000000000003</v>
      </c>
      <c r="I11" s="44">
        <v>14.88</v>
      </c>
      <c r="J11" s="44">
        <v>23.12</v>
      </c>
      <c r="K11" s="44">
        <v>59.25</v>
      </c>
      <c r="L11" s="44">
        <v>38</v>
      </c>
      <c r="M11" s="44">
        <v>0</v>
      </c>
      <c r="N11" s="46">
        <v>1.77</v>
      </c>
      <c r="O11" s="46">
        <v>1.71</v>
      </c>
      <c r="P11" s="46">
        <v>2.96</v>
      </c>
      <c r="Q11" s="60" t="s">
        <v>133</v>
      </c>
      <c r="R11" s="46">
        <v>1.77</v>
      </c>
      <c r="S11" s="47">
        <v>1.02</v>
      </c>
      <c r="T11" s="48">
        <v>0.59650000000000003</v>
      </c>
      <c r="U11" s="49">
        <v>0.34429999999999999</v>
      </c>
      <c r="V11" s="46">
        <v>3.42</v>
      </c>
      <c r="W11" s="46">
        <v>5.93</v>
      </c>
      <c r="X11" s="46">
        <v>3.54</v>
      </c>
      <c r="Y11" s="46"/>
      <c r="Z11" s="46">
        <v>-2.0699999999999998</v>
      </c>
      <c r="AA11" s="47">
        <v>1.47</v>
      </c>
      <c r="AB11" s="48">
        <v>0.42980000000000002</v>
      </c>
      <c r="AC11" s="49">
        <v>0.24809999999999999</v>
      </c>
      <c r="AD11" s="50">
        <v>5.13</v>
      </c>
      <c r="AE11" s="46">
        <v>8.89</v>
      </c>
      <c r="AF11" s="46">
        <v>5.31</v>
      </c>
      <c r="AG11" s="9">
        <v>7</v>
      </c>
      <c r="AH11" s="9">
        <f t="shared" si="0"/>
        <v>-0.84000000000000008</v>
      </c>
      <c r="AI11" s="47">
        <v>2.4</v>
      </c>
      <c r="AJ11" s="48">
        <f t="shared" si="13"/>
        <v>0.46783625730994149</v>
      </c>
      <c r="AK11" s="49">
        <f t="shared" si="14"/>
        <v>0.26996625421822268</v>
      </c>
      <c r="AL11" s="51">
        <f t="shared" si="15"/>
        <v>6.8400000000000007</v>
      </c>
      <c r="AM11" s="46">
        <f t="shared" si="16"/>
        <v>11.850000000000001</v>
      </c>
      <c r="AN11" s="46">
        <f t="shared" si="17"/>
        <v>7.08</v>
      </c>
      <c r="AO11" s="9">
        <f t="shared" si="18"/>
        <v>-0.66000000000000014</v>
      </c>
      <c r="AP11" s="47">
        <v>3.51</v>
      </c>
      <c r="AQ11" s="48">
        <f t="shared" si="1"/>
        <v>0.51315789473684204</v>
      </c>
      <c r="AR11" s="49">
        <f t="shared" si="2"/>
        <v>0.29620253164556959</v>
      </c>
      <c r="AS11" s="9">
        <f t="shared" si="19"/>
        <v>5.0999999999999996</v>
      </c>
      <c r="AT11" s="52">
        <v>0</v>
      </c>
      <c r="AU11" s="9">
        <f t="shared" si="20"/>
        <v>8.5500000000000007</v>
      </c>
      <c r="AV11" s="9">
        <f t="shared" si="21"/>
        <v>14.8125</v>
      </c>
      <c r="AW11" s="47">
        <v>5.21</v>
      </c>
      <c r="AX11" s="48">
        <f t="shared" si="22"/>
        <v>0.60935672514619876</v>
      </c>
      <c r="AY11" s="49">
        <f t="shared" si="23"/>
        <v>0.35172995780590716</v>
      </c>
      <c r="AZ11" s="52">
        <f t="shared" si="24"/>
        <v>10.620000000000001</v>
      </c>
      <c r="BA11" s="52">
        <f t="shared" si="25"/>
        <v>-3.61</v>
      </c>
      <c r="BB11" s="52">
        <f t="shared" si="56"/>
        <v>13.680000000000001</v>
      </c>
      <c r="BC11" s="52">
        <f t="shared" si="26"/>
        <v>23.700000000000003</v>
      </c>
      <c r="BD11" s="52">
        <v>3.37</v>
      </c>
      <c r="BE11" s="48">
        <f t="shared" si="3"/>
        <v>0.24634502923976606</v>
      </c>
      <c r="BF11" s="49">
        <f t="shared" si="27"/>
        <v>0.14219409282700421</v>
      </c>
      <c r="BG11" s="52">
        <f t="shared" si="28"/>
        <v>12.39</v>
      </c>
      <c r="BH11" s="52">
        <v>0</v>
      </c>
      <c r="BI11" s="52">
        <f t="shared" si="29"/>
        <v>15.390000000000002</v>
      </c>
      <c r="BJ11" s="52">
        <f t="shared" si="30"/>
        <v>26.662500000000001</v>
      </c>
      <c r="BK11" s="47">
        <v>1.41</v>
      </c>
      <c r="BL11" s="48">
        <f t="shared" si="4"/>
        <v>9.1617933723196862E-2</v>
      </c>
      <c r="BM11" s="49">
        <f t="shared" si="5"/>
        <v>5.2883263009845284E-2</v>
      </c>
      <c r="BN11" s="52">
        <f t="shared" si="31"/>
        <v>14.16</v>
      </c>
      <c r="BO11" s="52">
        <v>0.5</v>
      </c>
      <c r="BP11" s="52">
        <f t="shared" si="32"/>
        <v>18.810000000000002</v>
      </c>
      <c r="BQ11" s="52">
        <f t="shared" si="33"/>
        <v>32.587500000000006</v>
      </c>
      <c r="BR11" s="52">
        <v>6.29</v>
      </c>
      <c r="BS11" s="48">
        <f t="shared" si="34"/>
        <v>0.33439659755449225</v>
      </c>
      <c r="BT11" s="49">
        <f t="shared" si="6"/>
        <v>0.19301879555044107</v>
      </c>
      <c r="BU11" s="52">
        <f t="shared" si="35"/>
        <v>15.93</v>
      </c>
      <c r="BV11" s="52">
        <v>0.02</v>
      </c>
      <c r="BW11" s="52">
        <f t="shared" si="36"/>
        <v>22.230000000000004</v>
      </c>
      <c r="BX11" s="52">
        <f t="shared" si="37"/>
        <v>38.512500000000003</v>
      </c>
      <c r="BY11" s="47">
        <v>9.02</v>
      </c>
      <c r="BZ11" s="48">
        <f t="shared" si="38"/>
        <v>0.40575798470535301</v>
      </c>
      <c r="CA11" s="49">
        <f t="shared" si="39"/>
        <v>0.23420967218435571</v>
      </c>
      <c r="CB11" s="52">
        <f t="shared" si="40"/>
        <v>17.7</v>
      </c>
      <c r="CC11" s="52">
        <f t="shared" si="7"/>
        <v>-0.91999999999999948</v>
      </c>
      <c r="CD11" s="47">
        <f t="shared" si="41"/>
        <v>27.360000000000003</v>
      </c>
      <c r="CE11" s="47">
        <f t="shared" si="42"/>
        <v>47.400000000000006</v>
      </c>
      <c r="CF11" s="47">
        <v>6.33</v>
      </c>
      <c r="CG11" s="47">
        <f t="shared" si="43"/>
        <v>0.23135964912280699</v>
      </c>
      <c r="CH11" s="47">
        <f t="shared" si="44"/>
        <v>0.13354430379746834</v>
      </c>
      <c r="CI11" s="52">
        <f t="shared" si="45"/>
        <v>19.47</v>
      </c>
      <c r="CJ11" s="52">
        <f t="shared" si="46"/>
        <v>-11.739999999999998</v>
      </c>
      <c r="CK11" s="53">
        <v>0.55000000000000004</v>
      </c>
      <c r="CL11" s="53">
        <v>1.1499999999999999</v>
      </c>
      <c r="CM11" s="52">
        <f t="shared" si="47"/>
        <v>30.780000000000005</v>
      </c>
      <c r="CN11" s="52">
        <f t="shared" si="8"/>
        <v>53.325000000000003</v>
      </c>
      <c r="CO11" s="52">
        <v>8.65</v>
      </c>
      <c r="CP11" s="52">
        <v>7.73</v>
      </c>
      <c r="CQ11" s="54">
        <f t="shared" si="48"/>
        <v>0.25113710201429496</v>
      </c>
      <c r="CR11" s="54">
        <f t="shared" si="49"/>
        <v>0.14496015002344118</v>
      </c>
      <c r="CS11" s="55">
        <v>34.200000000000003</v>
      </c>
      <c r="CT11" s="55">
        <v>59.25</v>
      </c>
      <c r="CU11" s="9">
        <v>21.25</v>
      </c>
      <c r="CV11" s="56">
        <f t="shared" si="50"/>
        <v>14.16</v>
      </c>
      <c r="CW11" s="56">
        <f t="shared" si="9"/>
        <v>-7.87</v>
      </c>
      <c r="CX11" s="56">
        <v>10.48</v>
      </c>
      <c r="CY11" s="56">
        <f t="shared" si="10"/>
        <v>7.08</v>
      </c>
      <c r="CZ11" s="62">
        <v>12</v>
      </c>
      <c r="DA11" s="56">
        <f>BR11+CY11+CZ11</f>
        <v>25.37</v>
      </c>
      <c r="DB11" s="56">
        <f t="shared" si="11"/>
        <v>-33.879999999999995</v>
      </c>
      <c r="DC11" s="56">
        <v>25.829163600000001</v>
      </c>
      <c r="DD11" s="55"/>
      <c r="DE11" s="57">
        <v>1.57</v>
      </c>
      <c r="DF11" s="55">
        <f t="shared" si="57"/>
        <v>3.54</v>
      </c>
      <c r="DG11" s="55">
        <v>0</v>
      </c>
      <c r="DH11" s="55">
        <f t="shared" si="51"/>
        <v>9.5</v>
      </c>
      <c r="DI11" s="57">
        <f>CF11+DF11+DG11</f>
        <v>9.870000000000001</v>
      </c>
      <c r="DJ11" s="57">
        <f t="shared" si="12"/>
        <v>2.1400000000000006</v>
      </c>
      <c r="DK11" s="57">
        <v>11.99</v>
      </c>
      <c r="DL11" s="57">
        <f t="shared" si="52"/>
        <v>-2.1199999999999992</v>
      </c>
      <c r="DM11" s="58">
        <f t="shared" si="53"/>
        <v>0.35058479532163739</v>
      </c>
      <c r="DN11" s="58">
        <f t="shared" si="54"/>
        <v>0.20236286919831223</v>
      </c>
      <c r="DO11" s="46">
        <f t="shared" si="55"/>
        <v>17.600000000000001</v>
      </c>
      <c r="DP11" s="9">
        <v>39.720233280000002</v>
      </c>
      <c r="DQ11" s="50">
        <f>DP11/CS11</f>
        <v>1.1614103298245613</v>
      </c>
      <c r="DR11" s="50">
        <f>DP11/CT11</f>
        <v>0.67038368405063298</v>
      </c>
    </row>
    <row r="12" spans="1:135" s="29" customFormat="1" x14ac:dyDescent="0.2">
      <c r="A12" s="40" t="s">
        <v>134</v>
      </c>
      <c r="B12" s="41">
        <v>51.2</v>
      </c>
      <c r="C12" s="42">
        <v>52</v>
      </c>
      <c r="D12" s="43">
        <v>61.25</v>
      </c>
      <c r="E12" s="42">
        <v>8.1999999999999993</v>
      </c>
      <c r="F12" s="44">
        <v>43.8</v>
      </c>
      <c r="G12" s="45">
        <v>53.05</v>
      </c>
      <c r="H12" s="44">
        <v>52.65</v>
      </c>
      <c r="I12" s="44">
        <v>44.45</v>
      </c>
      <c r="J12" s="44">
        <v>8.6</v>
      </c>
      <c r="K12" s="44">
        <v>61.14</v>
      </c>
      <c r="L12" s="44">
        <v>52.94</v>
      </c>
      <c r="M12" s="44">
        <v>0.11</v>
      </c>
      <c r="N12" s="46">
        <v>0.68</v>
      </c>
      <c r="O12" s="46">
        <v>2.56</v>
      </c>
      <c r="P12" s="46">
        <v>3.06</v>
      </c>
      <c r="Q12" s="46">
        <v>1.26</v>
      </c>
      <c r="R12" s="46">
        <v>0.68</v>
      </c>
      <c r="S12" s="47">
        <v>1.94</v>
      </c>
      <c r="T12" s="48">
        <v>0.75780000000000003</v>
      </c>
      <c r="U12" s="49">
        <v>0.63349999999999995</v>
      </c>
      <c r="V12" s="46">
        <v>5.12</v>
      </c>
      <c r="W12" s="46">
        <v>6.13</v>
      </c>
      <c r="X12" s="46">
        <v>1.37</v>
      </c>
      <c r="Y12" s="46"/>
      <c r="Z12" s="46">
        <v>2.0499999999999998</v>
      </c>
      <c r="AA12" s="47">
        <v>3.42</v>
      </c>
      <c r="AB12" s="48">
        <v>0.66800000000000004</v>
      </c>
      <c r="AC12" s="49">
        <v>0.55840000000000001</v>
      </c>
      <c r="AD12" s="50">
        <v>7.68</v>
      </c>
      <c r="AE12" s="46">
        <v>9.19</v>
      </c>
      <c r="AF12" s="46">
        <v>2.0499999999999998</v>
      </c>
      <c r="AG12" s="9">
        <v>0</v>
      </c>
      <c r="AH12" s="9">
        <f t="shared" si="0"/>
        <v>1.4599999999999995</v>
      </c>
      <c r="AI12" s="47">
        <v>5.56</v>
      </c>
      <c r="AJ12" s="48">
        <f>AI12/AD12</f>
        <v>0.72395833333333326</v>
      </c>
      <c r="AK12" s="49">
        <f t="shared" si="14"/>
        <v>0.60500544069640916</v>
      </c>
      <c r="AL12" s="51">
        <f t="shared" si="15"/>
        <v>10.240000000000002</v>
      </c>
      <c r="AM12" s="46">
        <f t="shared" si="16"/>
        <v>12.25</v>
      </c>
      <c r="AN12" s="46">
        <f t="shared" si="17"/>
        <v>2.72</v>
      </c>
      <c r="AO12" s="9">
        <f t="shared" si="18"/>
        <v>3.61</v>
      </c>
      <c r="AP12" s="47">
        <v>9.85</v>
      </c>
      <c r="AQ12" s="48">
        <f t="shared" si="1"/>
        <v>0.96191406249999978</v>
      </c>
      <c r="AR12" s="49">
        <f t="shared" si="2"/>
        <v>0.80408163265306121</v>
      </c>
      <c r="AS12" s="9">
        <f t="shared" si="19"/>
        <v>9.6999999999999993</v>
      </c>
      <c r="AT12" s="52">
        <v>0</v>
      </c>
      <c r="AU12" s="9">
        <f t="shared" si="20"/>
        <v>12.8</v>
      </c>
      <c r="AV12" s="9">
        <f t="shared" si="21"/>
        <v>15.3125</v>
      </c>
      <c r="AW12" s="47">
        <v>14.08</v>
      </c>
      <c r="AX12" s="48">
        <f t="shared" si="22"/>
        <v>1.0999999999999999</v>
      </c>
      <c r="AY12" s="49">
        <f t="shared" si="23"/>
        <v>0.91951020408163264</v>
      </c>
      <c r="AZ12" s="52">
        <f t="shared" si="24"/>
        <v>4.08</v>
      </c>
      <c r="BA12" s="52">
        <f t="shared" si="25"/>
        <v>8.2000000000000011</v>
      </c>
      <c r="BB12" s="52">
        <f t="shared" si="56"/>
        <v>20.480000000000004</v>
      </c>
      <c r="BC12" s="52">
        <f t="shared" si="26"/>
        <v>24.5</v>
      </c>
      <c r="BD12" s="52">
        <v>22.96</v>
      </c>
      <c r="BE12" s="48">
        <f t="shared" si="3"/>
        <v>1.1210937499999998</v>
      </c>
      <c r="BF12" s="49">
        <f t="shared" si="27"/>
        <v>0.93714285714285717</v>
      </c>
      <c r="BG12" s="52">
        <f t="shared" si="28"/>
        <v>4.7600000000000007</v>
      </c>
      <c r="BH12" s="52">
        <v>3.4</v>
      </c>
      <c r="BI12" s="52">
        <f t="shared" si="29"/>
        <v>23.040000000000003</v>
      </c>
      <c r="BJ12" s="52">
        <f t="shared" si="30"/>
        <v>27.5625</v>
      </c>
      <c r="BK12" s="47">
        <v>28.82</v>
      </c>
      <c r="BL12" s="48">
        <f t="shared" si="4"/>
        <v>1.2508680555555554</v>
      </c>
      <c r="BM12" s="49">
        <f t="shared" si="5"/>
        <v>1.04562358276644</v>
      </c>
      <c r="BN12" s="52">
        <f t="shared" si="31"/>
        <v>5.44</v>
      </c>
      <c r="BO12" s="52">
        <v>10.14</v>
      </c>
      <c r="BP12" s="52">
        <f t="shared" si="32"/>
        <v>28.160000000000004</v>
      </c>
      <c r="BQ12" s="52">
        <f t="shared" si="33"/>
        <v>33.6875</v>
      </c>
      <c r="BR12" s="52">
        <v>38.950000000000003</v>
      </c>
      <c r="BS12" s="48">
        <f t="shared" si="34"/>
        <v>1.3831676136363635</v>
      </c>
      <c r="BT12" s="49">
        <f t="shared" si="6"/>
        <v>1.1562152133580705</v>
      </c>
      <c r="BU12" s="52">
        <f t="shared" si="35"/>
        <v>6.12</v>
      </c>
      <c r="BV12" s="52">
        <v>6.21</v>
      </c>
      <c r="BW12" s="52">
        <f t="shared" si="36"/>
        <v>33.28</v>
      </c>
      <c r="BX12" s="52">
        <f t="shared" si="37"/>
        <v>39.8125</v>
      </c>
      <c r="BY12" s="47">
        <v>51.18</v>
      </c>
      <c r="BZ12" s="48">
        <f t="shared" si="38"/>
        <v>1.5378605769230769</v>
      </c>
      <c r="CA12" s="49">
        <f t="shared" si="39"/>
        <v>1.2855259026687598</v>
      </c>
      <c r="CB12" s="52">
        <f t="shared" si="40"/>
        <v>6.8000000000000007</v>
      </c>
      <c r="CC12" s="52">
        <f t="shared" si="7"/>
        <v>-2.5600000000000018</v>
      </c>
      <c r="CD12" s="47">
        <f t="shared" si="41"/>
        <v>40.960000000000008</v>
      </c>
      <c r="CE12" s="47">
        <f t="shared" si="42"/>
        <v>49</v>
      </c>
      <c r="CF12" s="47">
        <v>47.94</v>
      </c>
      <c r="CG12" s="47">
        <f t="shared" si="43"/>
        <v>1.1704101562499998</v>
      </c>
      <c r="CH12" s="47">
        <f t="shared" si="44"/>
        <v>0.97836734693877547</v>
      </c>
      <c r="CI12" s="52">
        <f t="shared" si="45"/>
        <v>7.48</v>
      </c>
      <c r="CJ12" s="52">
        <f t="shared" si="46"/>
        <v>58.72999999999999</v>
      </c>
      <c r="CK12" s="53">
        <v>6.22</v>
      </c>
      <c r="CL12" s="53" t="s">
        <v>135</v>
      </c>
      <c r="CM12" s="52">
        <f t="shared" si="47"/>
        <v>46.080000000000005</v>
      </c>
      <c r="CN12" s="52">
        <f t="shared" si="8"/>
        <v>55.125</v>
      </c>
      <c r="CO12" s="52">
        <v>54.839999999999996</v>
      </c>
      <c r="CP12" s="52">
        <v>66.209999999999994</v>
      </c>
      <c r="CQ12" s="54">
        <f t="shared" si="48"/>
        <v>1.436848958333333</v>
      </c>
      <c r="CR12" s="54">
        <f t="shared" si="49"/>
        <v>1.2010884353741496</v>
      </c>
      <c r="CS12" s="55">
        <v>51.2</v>
      </c>
      <c r="CT12" s="55">
        <v>61.25</v>
      </c>
      <c r="CU12" s="9">
        <v>8.1999999999999993</v>
      </c>
      <c r="CV12" s="56">
        <f t="shared" si="50"/>
        <v>5.44</v>
      </c>
      <c r="CW12" s="56">
        <f t="shared" si="9"/>
        <v>33.510000000000005</v>
      </c>
      <c r="CX12" s="56">
        <f t="shared" ref="CX12:CX19" si="58">BR12-CV12</f>
        <v>33.510000000000005</v>
      </c>
      <c r="CY12" s="56">
        <f t="shared" si="10"/>
        <v>2.72</v>
      </c>
      <c r="CZ12" s="56">
        <f>DA12-BR12-CY12</f>
        <v>19.579999999999998</v>
      </c>
      <c r="DA12" s="56">
        <v>61.25</v>
      </c>
      <c r="DB12" s="56">
        <f t="shared" si="11"/>
        <v>0</v>
      </c>
      <c r="DC12" s="56">
        <v>50.071551597000003</v>
      </c>
      <c r="DD12" s="55"/>
      <c r="DE12" s="57">
        <v>1.76</v>
      </c>
      <c r="DF12" s="55">
        <v>4.0999999999999996</v>
      </c>
      <c r="DG12" s="55">
        <f>DI12-DF12-CF12</f>
        <v>0.96000000000000085</v>
      </c>
      <c r="DH12" s="55">
        <f t="shared" si="51"/>
        <v>66.89</v>
      </c>
      <c r="DI12" s="57">
        <v>53</v>
      </c>
      <c r="DJ12" s="57">
        <f t="shared" si="12"/>
        <v>-13.209999999999994</v>
      </c>
      <c r="DK12" s="57">
        <v>57.279999999999994</v>
      </c>
      <c r="DL12" s="57">
        <f t="shared" si="52"/>
        <v>-4.279999999999994</v>
      </c>
      <c r="DM12" s="58">
        <f t="shared" si="53"/>
        <v>1.1187499999999999</v>
      </c>
      <c r="DN12" s="58">
        <f t="shared" si="54"/>
        <v>0.93518367346938769</v>
      </c>
      <c r="DO12" s="46">
        <f t="shared" si="55"/>
        <v>18.84</v>
      </c>
      <c r="DP12" s="9">
        <v>57.335328529999998</v>
      </c>
      <c r="DQ12" s="50">
        <f>DP12/CS12</f>
        <v>1.1198306353515624</v>
      </c>
      <c r="DR12" s="50">
        <f>DP12/CT12</f>
        <v>0.93608699640816329</v>
      </c>
    </row>
    <row r="13" spans="1:135" s="29" customFormat="1" x14ac:dyDescent="0.2">
      <c r="A13" s="40" t="s">
        <v>136</v>
      </c>
      <c r="B13" s="41">
        <v>37.74</v>
      </c>
      <c r="C13" s="42">
        <v>50</v>
      </c>
      <c r="D13" s="43">
        <v>60.25</v>
      </c>
      <c r="E13" s="42">
        <v>13.74</v>
      </c>
      <c r="F13" s="44">
        <v>36.26</v>
      </c>
      <c r="G13" s="45">
        <v>46.51</v>
      </c>
      <c r="H13" s="44">
        <v>37.270000000000003</v>
      </c>
      <c r="I13" s="44">
        <v>23.53</v>
      </c>
      <c r="J13" s="44">
        <v>22.98</v>
      </c>
      <c r="K13" s="44">
        <v>60.34</v>
      </c>
      <c r="L13" s="44">
        <v>46.6</v>
      </c>
      <c r="M13" s="63" t="s">
        <v>137</v>
      </c>
      <c r="N13" s="46">
        <v>1.1499999999999999</v>
      </c>
      <c r="O13" s="46">
        <v>1.89</v>
      </c>
      <c r="P13" s="46">
        <v>3.01</v>
      </c>
      <c r="Q13" s="46">
        <v>0.09</v>
      </c>
      <c r="R13" s="46">
        <v>1.1499999999999999</v>
      </c>
      <c r="S13" s="47">
        <v>1.23</v>
      </c>
      <c r="T13" s="48">
        <v>0.65180000000000005</v>
      </c>
      <c r="U13" s="49">
        <v>0.4083</v>
      </c>
      <c r="V13" s="46">
        <v>3.77</v>
      </c>
      <c r="W13" s="46">
        <v>6.03</v>
      </c>
      <c r="X13" s="46">
        <v>2.29</v>
      </c>
      <c r="Y13" s="46"/>
      <c r="Z13" s="46">
        <v>1.43</v>
      </c>
      <c r="AA13" s="47">
        <v>3.72</v>
      </c>
      <c r="AB13" s="48">
        <v>0.98570000000000002</v>
      </c>
      <c r="AC13" s="49">
        <v>0.61739999999999995</v>
      </c>
      <c r="AD13" s="50">
        <v>5.66</v>
      </c>
      <c r="AE13" s="46">
        <v>9.0399999999999991</v>
      </c>
      <c r="AF13" s="46">
        <v>3.44</v>
      </c>
      <c r="AG13" s="9">
        <v>3.37</v>
      </c>
      <c r="AH13" s="9">
        <f t="shared" si="0"/>
        <v>3.5100000000000002</v>
      </c>
      <c r="AI13" s="47">
        <v>8.3800000000000008</v>
      </c>
      <c r="AJ13" s="48">
        <f>AI13/AD13</f>
        <v>1.4805653710247351</v>
      </c>
      <c r="AK13" s="49">
        <f t="shared" si="14"/>
        <v>0.92699115044247804</v>
      </c>
      <c r="AL13" s="51">
        <f t="shared" si="15"/>
        <v>7.5480000000000009</v>
      </c>
      <c r="AM13" s="46">
        <f t="shared" si="16"/>
        <v>12.05</v>
      </c>
      <c r="AN13" s="46">
        <f t="shared" si="17"/>
        <v>4.5999999999999996</v>
      </c>
      <c r="AO13" s="9">
        <f t="shared" si="18"/>
        <v>0</v>
      </c>
      <c r="AP13" s="47">
        <v>9.5299999999999994</v>
      </c>
      <c r="AQ13" s="48">
        <f t="shared" si="1"/>
        <v>1.2625861155272917</v>
      </c>
      <c r="AR13" s="49">
        <f t="shared" si="2"/>
        <v>0.79087136929460566</v>
      </c>
      <c r="AS13" s="9">
        <f t="shared" si="19"/>
        <v>6.15</v>
      </c>
      <c r="AT13" s="52">
        <v>1.44</v>
      </c>
      <c r="AU13" s="9">
        <f t="shared" si="20"/>
        <v>9.4350000000000005</v>
      </c>
      <c r="AV13" s="9">
        <f t="shared" si="21"/>
        <v>15.0625</v>
      </c>
      <c r="AW13" s="47">
        <v>11.37</v>
      </c>
      <c r="AX13" s="48">
        <f t="shared" si="22"/>
        <v>1.2050874403815579</v>
      </c>
      <c r="AY13" s="49">
        <f t="shared" si="23"/>
        <v>0.75485477178423233</v>
      </c>
      <c r="AZ13" s="52">
        <f t="shared" si="24"/>
        <v>6.8999999999999995</v>
      </c>
      <c r="BA13" s="52">
        <f t="shared" si="25"/>
        <v>8.5599999999999987</v>
      </c>
      <c r="BB13" s="52">
        <f t="shared" si="56"/>
        <v>15.096000000000002</v>
      </c>
      <c r="BC13" s="52">
        <f t="shared" si="26"/>
        <v>24.1</v>
      </c>
      <c r="BD13" s="52">
        <v>21.08</v>
      </c>
      <c r="BE13" s="48">
        <f t="shared" si="3"/>
        <v>1.3963963963963961</v>
      </c>
      <c r="BF13" s="49">
        <f t="shared" si="27"/>
        <v>0.87468879668049782</v>
      </c>
      <c r="BG13" s="52">
        <f t="shared" si="28"/>
        <v>8.0499999999999989</v>
      </c>
      <c r="BH13" s="52">
        <v>1.74</v>
      </c>
      <c r="BI13" s="52">
        <f t="shared" si="29"/>
        <v>16.983000000000001</v>
      </c>
      <c r="BJ13" s="52">
        <f t="shared" si="30"/>
        <v>27.112500000000001</v>
      </c>
      <c r="BK13" s="47">
        <v>21.96</v>
      </c>
      <c r="BL13" s="48">
        <f t="shared" si="4"/>
        <v>1.293057763645999</v>
      </c>
      <c r="BM13" s="49">
        <f t="shared" si="5"/>
        <v>0.8099585062240664</v>
      </c>
      <c r="BN13" s="52">
        <f t="shared" si="31"/>
        <v>9.1999999999999993</v>
      </c>
      <c r="BO13" s="52">
        <v>4.32</v>
      </c>
      <c r="BP13" s="52">
        <f t="shared" si="32"/>
        <v>20.757000000000001</v>
      </c>
      <c r="BQ13" s="52">
        <f t="shared" si="33"/>
        <v>33.137500000000003</v>
      </c>
      <c r="BR13" s="52">
        <v>25.63</v>
      </c>
      <c r="BS13" s="48">
        <f t="shared" si="34"/>
        <v>1.2347641759406465</v>
      </c>
      <c r="BT13" s="49">
        <f t="shared" si="6"/>
        <v>0.77344398340248954</v>
      </c>
      <c r="BU13" s="52">
        <f t="shared" si="35"/>
        <v>10.35</v>
      </c>
      <c r="BV13" s="52">
        <v>1.91</v>
      </c>
      <c r="BW13" s="52">
        <f t="shared" si="36"/>
        <v>24.531000000000002</v>
      </c>
      <c r="BX13" s="52">
        <f t="shared" si="37"/>
        <v>39.162500000000001</v>
      </c>
      <c r="BY13" s="47">
        <v>42.67</v>
      </c>
      <c r="BZ13" s="48">
        <f t="shared" si="38"/>
        <v>1.7394317394317393</v>
      </c>
      <c r="CA13" s="49">
        <f t="shared" si="39"/>
        <v>1.089562719438238</v>
      </c>
      <c r="CB13" s="52">
        <f t="shared" si="40"/>
        <v>11.5</v>
      </c>
      <c r="CC13" s="52">
        <f t="shared" si="7"/>
        <v>0.19999999999999707</v>
      </c>
      <c r="CD13" s="47">
        <f t="shared" si="41"/>
        <v>30.192000000000004</v>
      </c>
      <c r="CE13" s="47">
        <f t="shared" si="42"/>
        <v>48.2</v>
      </c>
      <c r="CF13" s="47">
        <v>41.72</v>
      </c>
      <c r="CG13" s="47">
        <f t="shared" si="43"/>
        <v>1.3818229994700582</v>
      </c>
      <c r="CH13" s="47">
        <f t="shared" si="44"/>
        <v>0.86556016597510366</v>
      </c>
      <c r="CI13" s="52">
        <f t="shared" si="45"/>
        <v>12.649999999999999</v>
      </c>
      <c r="CJ13" s="52">
        <f t="shared" si="46"/>
        <v>32.33</v>
      </c>
      <c r="CK13" s="53">
        <v>14.51</v>
      </c>
      <c r="CL13" s="53">
        <v>14.26</v>
      </c>
      <c r="CM13" s="52">
        <f t="shared" si="47"/>
        <v>33.966000000000001</v>
      </c>
      <c r="CN13" s="52">
        <f t="shared" si="8"/>
        <v>54.225000000000001</v>
      </c>
      <c r="CO13" s="52">
        <v>57.379999999999995</v>
      </c>
      <c r="CP13" s="52">
        <v>44.98</v>
      </c>
      <c r="CQ13" s="54">
        <f t="shared" si="48"/>
        <v>1.3242654419125006</v>
      </c>
      <c r="CR13" s="54">
        <f t="shared" si="49"/>
        <v>0.8295066851083448</v>
      </c>
      <c r="CS13" s="55">
        <v>37.74</v>
      </c>
      <c r="CT13" s="55">
        <v>60.25</v>
      </c>
      <c r="CU13" s="9">
        <v>13.74</v>
      </c>
      <c r="CV13" s="56">
        <f t="shared" si="50"/>
        <v>9.1999999999999993</v>
      </c>
      <c r="CW13" s="56">
        <f t="shared" si="9"/>
        <v>16.43</v>
      </c>
      <c r="CX13" s="56">
        <f t="shared" si="58"/>
        <v>16.43</v>
      </c>
      <c r="CY13" s="56">
        <f t="shared" si="10"/>
        <v>4.5999999999999996</v>
      </c>
      <c r="CZ13" s="62">
        <v>26.56</v>
      </c>
      <c r="DA13" s="56">
        <f>BR13+CY13+CZ13</f>
        <v>56.789999999999992</v>
      </c>
      <c r="DB13" s="56">
        <f t="shared" si="11"/>
        <v>-3.460000000000008</v>
      </c>
      <c r="DC13" s="56">
        <v>47.241145033000002</v>
      </c>
      <c r="DD13" s="55"/>
      <c r="DE13" s="57">
        <v>3.87</v>
      </c>
      <c r="DF13" s="55">
        <f t="shared" si="57"/>
        <v>2.2999999999999998</v>
      </c>
      <c r="DG13" s="55">
        <f>DI13-CF13-DF13</f>
        <v>8.3099999999999987</v>
      </c>
      <c r="DH13" s="55">
        <f t="shared" si="51"/>
        <v>46.129999999999995</v>
      </c>
      <c r="DI13" s="57">
        <v>52.33</v>
      </c>
      <c r="DJ13" s="57">
        <f t="shared" si="12"/>
        <v>7.3500000000000014</v>
      </c>
      <c r="DK13" s="57">
        <v>62.399999999999991</v>
      </c>
      <c r="DL13" s="57">
        <f t="shared" si="52"/>
        <v>-10.069999999999993</v>
      </c>
      <c r="DM13" s="58">
        <f t="shared" si="53"/>
        <v>1.653418124006359</v>
      </c>
      <c r="DN13" s="58">
        <f t="shared" si="54"/>
        <v>1.0356846473029044</v>
      </c>
      <c r="DO13" s="46">
        <f t="shared" si="55"/>
        <v>19.419999999999998</v>
      </c>
      <c r="DP13" s="9">
        <v>60.340052241000002</v>
      </c>
      <c r="DQ13" s="50">
        <f>DP13/CS13</f>
        <v>1.5988355124801272</v>
      </c>
      <c r="DR13" s="50">
        <f>DP13/CT13</f>
        <v>1.0014946430041494</v>
      </c>
    </row>
    <row r="14" spans="1:135" s="29" customFormat="1" x14ac:dyDescent="0.2">
      <c r="A14" s="40" t="s">
        <v>138</v>
      </c>
      <c r="B14" s="41">
        <v>31.63</v>
      </c>
      <c r="C14" s="42">
        <v>42</v>
      </c>
      <c r="D14" s="43">
        <v>55.75</v>
      </c>
      <c r="E14" s="42">
        <v>9.1199999999999992</v>
      </c>
      <c r="F14" s="44">
        <v>32.880000000000003</v>
      </c>
      <c r="G14" s="45">
        <v>46.63</v>
      </c>
      <c r="H14" s="44">
        <v>31.63</v>
      </c>
      <c r="I14" s="44">
        <v>22.51</v>
      </c>
      <c r="J14" s="44">
        <v>24.12</v>
      </c>
      <c r="K14" s="44">
        <v>31.14</v>
      </c>
      <c r="L14" s="44">
        <v>22.02</v>
      </c>
      <c r="M14" s="59">
        <v>24.61</v>
      </c>
      <c r="N14" s="46">
        <v>0.76</v>
      </c>
      <c r="O14" s="46">
        <v>1.58</v>
      </c>
      <c r="P14" s="46">
        <v>2.79</v>
      </c>
      <c r="Q14" s="60" t="s">
        <v>139</v>
      </c>
      <c r="R14" s="46">
        <v>0.76</v>
      </c>
      <c r="S14" s="47">
        <v>0.4</v>
      </c>
      <c r="T14" s="48">
        <v>0.25290000000000001</v>
      </c>
      <c r="U14" s="49">
        <v>0.14349999999999999</v>
      </c>
      <c r="V14" s="46">
        <v>3.16</v>
      </c>
      <c r="W14" s="46">
        <v>5.58</v>
      </c>
      <c r="X14" s="46">
        <v>1.52</v>
      </c>
      <c r="Y14" s="46"/>
      <c r="Z14" s="46">
        <v>0.16</v>
      </c>
      <c r="AA14" s="47">
        <v>1.68</v>
      </c>
      <c r="AB14" s="48">
        <v>0.53110000000000002</v>
      </c>
      <c r="AC14" s="49">
        <v>0.30130000000000001</v>
      </c>
      <c r="AD14" s="50">
        <v>4.74</v>
      </c>
      <c r="AE14" s="46">
        <v>8.36</v>
      </c>
      <c r="AF14" s="46">
        <v>2.2799999999999998</v>
      </c>
      <c r="AG14" s="9">
        <v>7.47</v>
      </c>
      <c r="AH14" s="9">
        <f t="shared" si="0"/>
        <v>0.26000000000000023</v>
      </c>
      <c r="AI14" s="47">
        <v>2.7</v>
      </c>
      <c r="AJ14" s="48">
        <f t="shared" si="13"/>
        <v>0.569620253164557</v>
      </c>
      <c r="AK14" s="49">
        <f t="shared" si="14"/>
        <v>0.32296650717703351</v>
      </c>
      <c r="AL14" s="51">
        <f t="shared" si="15"/>
        <v>6.3260000000000005</v>
      </c>
      <c r="AM14" s="46">
        <f t="shared" si="16"/>
        <v>11.15</v>
      </c>
      <c r="AN14" s="46">
        <f t="shared" si="17"/>
        <v>3.04</v>
      </c>
      <c r="AO14" s="9">
        <f t="shared" si="18"/>
        <v>-3.0000000000000027E-2</v>
      </c>
      <c r="AP14" s="47">
        <v>3.43</v>
      </c>
      <c r="AQ14" s="48">
        <f t="shared" si="1"/>
        <v>0.54220676572873849</v>
      </c>
      <c r="AR14" s="49">
        <f t="shared" si="2"/>
        <v>0.30762331838565021</v>
      </c>
      <c r="AS14" s="9">
        <f t="shared" si="19"/>
        <v>2</v>
      </c>
      <c r="AT14" s="52">
        <v>0.06</v>
      </c>
      <c r="AU14" s="9">
        <f t="shared" si="20"/>
        <v>7.9074999999999998</v>
      </c>
      <c r="AV14" s="9">
        <f t="shared" si="21"/>
        <v>13.9375</v>
      </c>
      <c r="AW14" s="47">
        <v>4.17</v>
      </c>
      <c r="AX14" s="48">
        <f t="shared" si="22"/>
        <v>0.5273474549478343</v>
      </c>
      <c r="AY14" s="49">
        <f t="shared" si="23"/>
        <v>0.2991928251121076</v>
      </c>
      <c r="AZ14" s="52">
        <f t="shared" si="24"/>
        <v>4.5600000000000005</v>
      </c>
      <c r="BA14" s="52">
        <f t="shared" si="25"/>
        <v>0.28999999999999981</v>
      </c>
      <c r="BB14" s="52">
        <f t="shared" si="56"/>
        <v>12.652000000000001</v>
      </c>
      <c r="BC14" s="52">
        <f t="shared" si="26"/>
        <v>22.3</v>
      </c>
      <c r="BD14" s="52">
        <v>5.22</v>
      </c>
      <c r="BE14" s="48">
        <f t="shared" si="3"/>
        <v>0.41258299083148903</v>
      </c>
      <c r="BF14" s="49">
        <f t="shared" si="27"/>
        <v>0.23408071748878923</v>
      </c>
      <c r="BG14" s="52">
        <f t="shared" si="28"/>
        <v>5.32</v>
      </c>
      <c r="BH14" s="52">
        <v>0.01</v>
      </c>
      <c r="BI14" s="52">
        <f t="shared" si="29"/>
        <v>14.233499999999999</v>
      </c>
      <c r="BJ14" s="52">
        <f t="shared" si="30"/>
        <v>25.087500000000002</v>
      </c>
      <c r="BK14" s="47">
        <v>10.93</v>
      </c>
      <c r="BL14" s="48">
        <f t="shared" si="4"/>
        <v>0.76790669898478947</v>
      </c>
      <c r="BM14" s="49">
        <f t="shared" si="5"/>
        <v>0.43567513702042843</v>
      </c>
      <c r="BN14" s="52">
        <f t="shared" si="31"/>
        <v>6.08</v>
      </c>
      <c r="BO14" s="52">
        <v>0.39</v>
      </c>
      <c r="BP14" s="52">
        <f t="shared" si="32"/>
        <v>17.3965</v>
      </c>
      <c r="BQ14" s="52">
        <f t="shared" si="33"/>
        <v>30.662500000000001</v>
      </c>
      <c r="BR14" s="52">
        <v>12.2</v>
      </c>
      <c r="BS14" s="48">
        <f t="shared" si="34"/>
        <v>0.70129048946627193</v>
      </c>
      <c r="BT14" s="49">
        <f t="shared" si="6"/>
        <v>0.39788014675907046</v>
      </c>
      <c r="BU14" s="52">
        <f t="shared" si="35"/>
        <v>6.84</v>
      </c>
      <c r="BV14" s="52">
        <v>0.74</v>
      </c>
      <c r="BW14" s="52">
        <f t="shared" si="36"/>
        <v>20.5595</v>
      </c>
      <c r="BX14" s="52">
        <f t="shared" si="37"/>
        <v>36.237500000000004</v>
      </c>
      <c r="BY14" s="47">
        <v>14.5</v>
      </c>
      <c r="BZ14" s="48">
        <f t="shared" si="38"/>
        <v>0.70527006979741724</v>
      </c>
      <c r="CA14" s="49">
        <f t="shared" si="39"/>
        <v>0.4001379786133149</v>
      </c>
      <c r="CB14" s="52">
        <f t="shared" si="40"/>
        <v>7.6</v>
      </c>
      <c r="CC14" s="52">
        <f t="shared" si="7"/>
        <v>1.76</v>
      </c>
      <c r="CD14" s="47">
        <f t="shared" si="41"/>
        <v>25.304000000000002</v>
      </c>
      <c r="CE14" s="47">
        <f t="shared" si="42"/>
        <v>44.6</v>
      </c>
      <c r="CF14" s="47">
        <v>15.5</v>
      </c>
      <c r="CG14" s="47">
        <f t="shared" si="43"/>
        <v>0.61255137527663606</v>
      </c>
      <c r="CH14" s="47">
        <f>CF14/CE14</f>
        <v>0.34753363228699552</v>
      </c>
      <c r="CI14" s="52">
        <f t="shared" si="45"/>
        <v>8.36</v>
      </c>
      <c r="CJ14" s="52">
        <f t="shared" si="46"/>
        <v>8.9400000000000013</v>
      </c>
      <c r="CK14" s="55">
        <v>0.82</v>
      </c>
      <c r="CL14" s="55">
        <v>0.82</v>
      </c>
      <c r="CM14" s="52">
        <f t="shared" si="47"/>
        <v>28.466999999999999</v>
      </c>
      <c r="CN14" s="52">
        <f t="shared" si="8"/>
        <v>50.175000000000004</v>
      </c>
      <c r="CO14" s="52">
        <v>17.080000000000002</v>
      </c>
      <c r="CP14" s="52">
        <v>17.3</v>
      </c>
      <c r="CQ14" s="54">
        <f t="shared" si="48"/>
        <v>0.60772122106298532</v>
      </c>
      <c r="CR14" s="54">
        <f t="shared" si="49"/>
        <v>0.3447932237169905</v>
      </c>
      <c r="CS14" s="55">
        <v>31.63</v>
      </c>
      <c r="CT14" s="55">
        <v>55.75</v>
      </c>
      <c r="CU14" s="9">
        <v>9.1199999999999992</v>
      </c>
      <c r="CV14" s="56">
        <f t="shared" si="50"/>
        <v>6.08</v>
      </c>
      <c r="CW14" s="56">
        <f t="shared" si="9"/>
        <v>6.1199999999999992</v>
      </c>
      <c r="CX14" s="56">
        <f t="shared" si="58"/>
        <v>6.1199999999999992</v>
      </c>
      <c r="CY14" s="56">
        <f>N14*4</f>
        <v>3.04</v>
      </c>
      <c r="CZ14" s="56">
        <v>7</v>
      </c>
      <c r="DA14" s="56">
        <f>BR14+CY14+CZ14</f>
        <v>22.24</v>
      </c>
      <c r="DB14" s="56">
        <f t="shared" si="11"/>
        <v>-33.510000000000005</v>
      </c>
      <c r="DC14" s="56">
        <v>22.501609999999999</v>
      </c>
      <c r="DD14" s="55"/>
      <c r="DE14" s="57">
        <v>7.49</v>
      </c>
      <c r="DF14" s="55">
        <f>DI14-DG14-CF14</f>
        <v>0</v>
      </c>
      <c r="DG14" s="55">
        <v>11.5</v>
      </c>
      <c r="DH14" s="55">
        <f t="shared" si="51"/>
        <v>18.060000000000002</v>
      </c>
      <c r="DI14" s="57">
        <v>27</v>
      </c>
      <c r="DJ14" s="57">
        <f t="shared" si="12"/>
        <v>9.6999999999999993</v>
      </c>
      <c r="DK14" s="57">
        <v>25.330000000000002</v>
      </c>
      <c r="DL14" s="57">
        <f t="shared" si="52"/>
        <v>1.6699999999999982</v>
      </c>
      <c r="DM14" s="58">
        <f t="shared" si="53"/>
        <v>0.80082200442617779</v>
      </c>
      <c r="DN14" s="58">
        <f t="shared" si="54"/>
        <v>0.45434977578475338</v>
      </c>
      <c r="DO14" s="46">
        <f t="shared" si="55"/>
        <v>9.49</v>
      </c>
      <c r="DP14" s="9">
        <v>31.626376700000002</v>
      </c>
      <c r="DQ14" s="50">
        <f>DP14/CS14</f>
        <v>0.99988544736010121</v>
      </c>
      <c r="DR14" s="50">
        <f>DP14/CT14</f>
        <v>0.56728926816143499</v>
      </c>
    </row>
    <row r="15" spans="1:135" s="29" customFormat="1" x14ac:dyDescent="0.2">
      <c r="A15" s="40" t="s">
        <v>140</v>
      </c>
      <c r="B15" s="41">
        <v>51.6</v>
      </c>
      <c r="C15" s="42">
        <v>50</v>
      </c>
      <c r="D15" s="43">
        <v>59.25</v>
      </c>
      <c r="E15" s="42">
        <v>24.88</v>
      </c>
      <c r="F15" s="44">
        <v>25.12</v>
      </c>
      <c r="G15" s="45">
        <v>34.369999999999997</v>
      </c>
      <c r="H15" s="44">
        <v>50</v>
      </c>
      <c r="I15" s="44">
        <v>25.12</v>
      </c>
      <c r="J15" s="44">
        <v>9.25</v>
      </c>
      <c r="K15" s="44">
        <v>50.04</v>
      </c>
      <c r="L15" s="44">
        <v>25.16</v>
      </c>
      <c r="M15" s="59">
        <v>9.2100000000000009</v>
      </c>
      <c r="N15" s="46">
        <v>2.0699999999999998</v>
      </c>
      <c r="O15" s="46">
        <v>2.58</v>
      </c>
      <c r="P15" s="46">
        <v>2.96</v>
      </c>
      <c r="Q15" s="60" t="s">
        <v>141</v>
      </c>
      <c r="R15" s="46">
        <v>2.0699999999999998</v>
      </c>
      <c r="S15" s="47">
        <v>1.23</v>
      </c>
      <c r="T15" s="48">
        <v>0.47670000000000001</v>
      </c>
      <c r="U15" s="49">
        <v>0.41520000000000001</v>
      </c>
      <c r="V15" s="9">
        <v>5.16</v>
      </c>
      <c r="W15" s="46">
        <v>5.93</v>
      </c>
      <c r="X15" s="46">
        <v>4.1500000000000004</v>
      </c>
      <c r="Y15" s="46"/>
      <c r="Z15" s="46">
        <v>-1.44</v>
      </c>
      <c r="AA15" s="47">
        <v>2.71</v>
      </c>
      <c r="AB15" s="48">
        <v>0.5252</v>
      </c>
      <c r="AC15" s="49">
        <v>0.45739999999999997</v>
      </c>
      <c r="AD15" s="50">
        <v>7.74</v>
      </c>
      <c r="AE15" s="46">
        <v>8.89</v>
      </c>
      <c r="AF15" s="46">
        <v>6.22</v>
      </c>
      <c r="AG15" s="9">
        <v>0</v>
      </c>
      <c r="AH15" s="9">
        <f t="shared" si="0"/>
        <v>1.1400000000000001</v>
      </c>
      <c r="AI15" s="47">
        <v>5.92</v>
      </c>
      <c r="AJ15" s="48">
        <f t="shared" si="13"/>
        <v>0.76485788113695086</v>
      </c>
      <c r="AK15" s="49">
        <f t="shared" si="14"/>
        <v>0.66591676040494929</v>
      </c>
      <c r="AL15" s="51">
        <f t="shared" si="15"/>
        <v>10.32</v>
      </c>
      <c r="AM15" s="46">
        <f t="shared" si="16"/>
        <v>11.850000000000001</v>
      </c>
      <c r="AN15" s="46">
        <f t="shared" si="17"/>
        <v>8.2799999999999994</v>
      </c>
      <c r="AO15" s="9">
        <f t="shared" si="18"/>
        <v>33.239999999999995</v>
      </c>
      <c r="AP15" s="47">
        <v>41.23</v>
      </c>
      <c r="AQ15" s="48">
        <f t="shared" si="1"/>
        <v>3.9951550387596897</v>
      </c>
      <c r="AR15" s="49">
        <f t="shared" si="2"/>
        <v>3.4793248945147672</v>
      </c>
      <c r="AS15" s="9">
        <f t="shared" si="19"/>
        <v>6.15</v>
      </c>
      <c r="AT15" s="52">
        <v>0</v>
      </c>
      <c r="AU15" s="9">
        <f t="shared" si="20"/>
        <v>12.9</v>
      </c>
      <c r="AV15" s="9">
        <f t="shared" si="21"/>
        <v>14.8125</v>
      </c>
      <c r="AW15" s="47">
        <v>42.7</v>
      </c>
      <c r="AX15" s="48">
        <f t="shared" si="22"/>
        <v>3.3100775193798451</v>
      </c>
      <c r="AY15" s="49">
        <f t="shared" si="23"/>
        <v>2.8827004219409287</v>
      </c>
      <c r="AZ15" s="52">
        <f t="shared" si="24"/>
        <v>12.419999999999998</v>
      </c>
      <c r="BA15" s="52">
        <f t="shared" si="25"/>
        <v>0.91999999999999504</v>
      </c>
      <c r="BB15" s="52">
        <f t="shared" si="56"/>
        <v>20.64</v>
      </c>
      <c r="BC15" s="52">
        <f t="shared" si="26"/>
        <v>23.700000000000003</v>
      </c>
      <c r="BD15" s="52">
        <v>45.69</v>
      </c>
      <c r="BE15" s="48">
        <f t="shared" si="3"/>
        <v>2.2136627906976742</v>
      </c>
      <c r="BF15" s="49">
        <f t="shared" si="27"/>
        <v>1.9278481012658224</v>
      </c>
      <c r="BG15" s="52">
        <f t="shared" si="28"/>
        <v>14.489999999999998</v>
      </c>
      <c r="BH15" s="52">
        <v>0.22</v>
      </c>
      <c r="BI15" s="52">
        <f t="shared" si="29"/>
        <v>23.220000000000002</v>
      </c>
      <c r="BJ15" s="52">
        <f t="shared" si="30"/>
        <v>26.662500000000001</v>
      </c>
      <c r="BK15" s="47">
        <v>48.76</v>
      </c>
      <c r="BL15" s="48">
        <f t="shared" si="4"/>
        <v>2.0999138673557276</v>
      </c>
      <c r="BM15" s="49">
        <f t="shared" si="5"/>
        <v>1.8287857477730893</v>
      </c>
      <c r="BN15" s="52">
        <f t="shared" si="31"/>
        <v>16.559999999999999</v>
      </c>
      <c r="BO15" s="52">
        <v>1.1299999999999999</v>
      </c>
      <c r="BP15" s="52">
        <f t="shared" si="32"/>
        <v>28.380000000000003</v>
      </c>
      <c r="BQ15" s="52">
        <f t="shared" si="33"/>
        <v>32.587500000000006</v>
      </c>
      <c r="BR15" s="52">
        <v>53.37</v>
      </c>
      <c r="BS15" s="48">
        <f t="shared" si="34"/>
        <v>1.8805496828752639</v>
      </c>
      <c r="BT15" s="49">
        <f t="shared" si="6"/>
        <v>1.6377445339470653</v>
      </c>
      <c r="BU15" s="52">
        <f t="shared" si="35"/>
        <v>18.63</v>
      </c>
      <c r="BV15" s="52">
        <v>0</v>
      </c>
      <c r="BW15" s="52">
        <f t="shared" si="36"/>
        <v>33.54</v>
      </c>
      <c r="BX15" s="52">
        <f t="shared" si="37"/>
        <v>38.512500000000003</v>
      </c>
      <c r="BY15" s="47">
        <v>59.52</v>
      </c>
      <c r="BZ15" s="48">
        <f t="shared" si="38"/>
        <v>1.7745974955277282</v>
      </c>
      <c r="CA15" s="49">
        <f t="shared" si="39"/>
        <v>1.5454722492697175</v>
      </c>
      <c r="CB15" s="52">
        <f t="shared" si="40"/>
        <v>20.7</v>
      </c>
      <c r="CC15" s="52">
        <f t="shared" si="7"/>
        <v>3.57</v>
      </c>
      <c r="CD15" s="47">
        <f t="shared" si="41"/>
        <v>41.28</v>
      </c>
      <c r="CE15" s="47">
        <f t="shared" si="42"/>
        <v>47.400000000000006</v>
      </c>
      <c r="CF15" s="47">
        <v>61.02</v>
      </c>
      <c r="CG15" s="47">
        <f t="shared" si="43"/>
        <v>1.4781976744186047</v>
      </c>
      <c r="CH15" s="47">
        <f t="shared" si="44"/>
        <v>1.2873417721518987</v>
      </c>
      <c r="CI15" s="52">
        <f t="shared" si="45"/>
        <v>22.77</v>
      </c>
      <c r="CJ15" s="52">
        <f t="shared" si="46"/>
        <v>39.89</v>
      </c>
      <c r="CK15" s="55">
        <v>40.369999999999997</v>
      </c>
      <c r="CL15" s="55">
        <v>40.369999999999997</v>
      </c>
      <c r="CM15" s="52">
        <f t="shared" si="47"/>
        <v>46.440000000000005</v>
      </c>
      <c r="CN15" s="52">
        <f t="shared" si="8"/>
        <v>53.325000000000003</v>
      </c>
      <c r="CO15" s="52">
        <v>103.46000000000001</v>
      </c>
      <c r="CP15" s="52">
        <v>62.66</v>
      </c>
      <c r="CQ15" s="54">
        <f t="shared" si="48"/>
        <v>1.3492678725236862</v>
      </c>
      <c r="CR15" s="54">
        <f t="shared" si="49"/>
        <v>1.1750586029067041</v>
      </c>
      <c r="CS15" s="55">
        <v>51.6</v>
      </c>
      <c r="CT15" s="55">
        <v>59.25</v>
      </c>
      <c r="CU15" s="9">
        <v>24.88</v>
      </c>
      <c r="CV15" s="56">
        <f t="shared" si="50"/>
        <v>16.559999999999999</v>
      </c>
      <c r="CW15" s="56">
        <f t="shared" si="9"/>
        <v>36.81</v>
      </c>
      <c r="CX15" s="56">
        <f t="shared" si="58"/>
        <v>36.81</v>
      </c>
      <c r="CY15" s="56">
        <f>N15*4</f>
        <v>8.2799999999999994</v>
      </c>
      <c r="CZ15" s="56">
        <v>12</v>
      </c>
      <c r="DA15" s="56">
        <f>BR15+CY15+CZ15</f>
        <v>73.650000000000006</v>
      </c>
      <c r="DB15" s="56">
        <f t="shared" si="11"/>
        <v>14.400000000000006</v>
      </c>
      <c r="DC15" s="56">
        <v>23.878019999999999</v>
      </c>
      <c r="DD15" s="55"/>
      <c r="DE15" s="57">
        <v>0</v>
      </c>
      <c r="DF15" s="55">
        <v>2</v>
      </c>
      <c r="DG15" s="55">
        <v>0</v>
      </c>
      <c r="DH15" s="55">
        <f t="shared" si="51"/>
        <v>64.72999999999999</v>
      </c>
      <c r="DI15" s="57">
        <f>CF15+DF15+DG15</f>
        <v>63.02</v>
      </c>
      <c r="DJ15" s="57">
        <f t="shared" si="12"/>
        <v>0.36000000000000654</v>
      </c>
      <c r="DK15" s="57">
        <v>105.53</v>
      </c>
      <c r="DL15" s="57">
        <f t="shared" si="52"/>
        <v>-42.51</v>
      </c>
      <c r="DM15" s="58">
        <f t="shared" si="53"/>
        <v>2.04515503875969</v>
      </c>
      <c r="DN15" s="58">
        <f t="shared" si="54"/>
        <v>1.7810970464135021</v>
      </c>
      <c r="DO15" s="46">
        <f t="shared" si="55"/>
        <v>57.19</v>
      </c>
      <c r="DP15" s="9">
        <v>50.041924104000003</v>
      </c>
      <c r="DQ15" s="50">
        <f>DP15/CS15</f>
        <v>0.96980473069767448</v>
      </c>
      <c r="DR15" s="50">
        <f>DP15/CT15</f>
        <v>0.8445894363544304</v>
      </c>
    </row>
    <row r="16" spans="1:135" s="29" customFormat="1" x14ac:dyDescent="0.2">
      <c r="A16" s="40" t="s">
        <v>142</v>
      </c>
      <c r="B16" s="41">
        <v>60</v>
      </c>
      <c r="C16" s="42">
        <v>62</v>
      </c>
      <c r="D16" s="43">
        <v>63.25</v>
      </c>
      <c r="E16" s="42">
        <v>22</v>
      </c>
      <c r="F16" s="44">
        <v>40</v>
      </c>
      <c r="G16" s="45">
        <v>41.25</v>
      </c>
      <c r="H16" s="44">
        <v>60.01</v>
      </c>
      <c r="I16" s="44">
        <v>38.01</v>
      </c>
      <c r="J16" s="44">
        <v>3.24</v>
      </c>
      <c r="K16" s="44">
        <v>63.87</v>
      </c>
      <c r="L16" s="44">
        <v>41.87</v>
      </c>
      <c r="M16" s="63" t="s">
        <v>143</v>
      </c>
      <c r="N16" s="46">
        <v>1.83</v>
      </c>
      <c r="O16" s="9">
        <v>3</v>
      </c>
      <c r="P16" s="46">
        <v>3.16</v>
      </c>
      <c r="Q16" s="60" t="s">
        <v>144</v>
      </c>
      <c r="R16" s="46">
        <v>1.83</v>
      </c>
      <c r="S16" s="47">
        <v>1.8</v>
      </c>
      <c r="T16" s="48">
        <v>0.6</v>
      </c>
      <c r="U16" s="49">
        <v>0.56920000000000004</v>
      </c>
      <c r="V16" s="9">
        <v>6</v>
      </c>
      <c r="W16" s="46">
        <v>6.33</v>
      </c>
      <c r="X16" s="46">
        <v>3.67</v>
      </c>
      <c r="Y16" s="46"/>
      <c r="Z16" s="46">
        <v>0.56000000000000005</v>
      </c>
      <c r="AA16" s="47">
        <v>4.2300000000000004</v>
      </c>
      <c r="AB16" s="48">
        <v>0.70499999999999996</v>
      </c>
      <c r="AC16" s="49">
        <v>0.66879999999999995</v>
      </c>
      <c r="AD16" s="50">
        <v>9</v>
      </c>
      <c r="AE16" s="46">
        <v>9.49</v>
      </c>
      <c r="AF16" s="46">
        <v>5.5</v>
      </c>
      <c r="AG16" s="9">
        <v>0</v>
      </c>
      <c r="AH16" s="9">
        <f t="shared" si="0"/>
        <v>0.58999999999999986</v>
      </c>
      <c r="AI16" s="47">
        <v>6.65</v>
      </c>
      <c r="AJ16" s="48">
        <f t="shared" si="13"/>
        <v>0.73888888888888893</v>
      </c>
      <c r="AK16" s="49">
        <f t="shared" si="14"/>
        <v>0.70073761854583771</v>
      </c>
      <c r="AL16" s="51">
        <f t="shared" si="15"/>
        <v>12</v>
      </c>
      <c r="AM16" s="46">
        <f t="shared" si="16"/>
        <v>12.65</v>
      </c>
      <c r="AN16" s="46">
        <f t="shared" si="17"/>
        <v>7.32</v>
      </c>
      <c r="AO16" s="9">
        <f t="shared" si="18"/>
        <v>0.32000000000000028</v>
      </c>
      <c r="AP16" s="47">
        <v>8.8000000000000007</v>
      </c>
      <c r="AQ16" s="48">
        <f t="shared" si="1"/>
        <v>0.73333333333333339</v>
      </c>
      <c r="AR16" s="49">
        <f t="shared" si="2"/>
        <v>0.69565217391304357</v>
      </c>
      <c r="AS16" s="9">
        <f t="shared" si="19"/>
        <v>9</v>
      </c>
      <c r="AT16" s="52">
        <v>4.0599999999999996</v>
      </c>
      <c r="AU16" s="9">
        <f t="shared" si="20"/>
        <v>15</v>
      </c>
      <c r="AV16" s="9">
        <f t="shared" si="21"/>
        <v>15.8125</v>
      </c>
      <c r="AW16" s="47">
        <v>16.190000000000001</v>
      </c>
      <c r="AX16" s="48">
        <f t="shared" si="22"/>
        <v>1.0793333333333335</v>
      </c>
      <c r="AY16" s="49">
        <f t="shared" si="23"/>
        <v>1.0238735177865614</v>
      </c>
      <c r="AZ16" s="52">
        <f t="shared" si="24"/>
        <v>10.98</v>
      </c>
      <c r="BA16" s="52">
        <f t="shared" si="25"/>
        <v>10.699999999999998</v>
      </c>
      <c r="BB16" s="52">
        <f t="shared" si="56"/>
        <v>24</v>
      </c>
      <c r="BC16" s="52">
        <f t="shared" si="26"/>
        <v>25.3</v>
      </c>
      <c r="BD16" s="52">
        <v>28.72</v>
      </c>
      <c r="BE16" s="48">
        <f t="shared" si="3"/>
        <v>1.1966666666666665</v>
      </c>
      <c r="BF16" s="49">
        <f t="shared" si="27"/>
        <v>1.1351778656126481</v>
      </c>
      <c r="BG16" s="52">
        <f t="shared" si="28"/>
        <v>12.81</v>
      </c>
      <c r="BH16" s="52">
        <v>0.18</v>
      </c>
      <c r="BI16" s="52">
        <f t="shared" si="29"/>
        <v>27</v>
      </c>
      <c r="BJ16" s="52">
        <f t="shared" si="30"/>
        <v>28.462500000000002</v>
      </c>
      <c r="BK16" s="47">
        <v>35.06</v>
      </c>
      <c r="BL16" s="48">
        <f t="shared" si="4"/>
        <v>1.2985185185185186</v>
      </c>
      <c r="BM16" s="49">
        <f t="shared" si="5"/>
        <v>1.231796223100571</v>
      </c>
      <c r="BN16" s="52">
        <f t="shared" si="31"/>
        <v>14.64</v>
      </c>
      <c r="BO16" s="52">
        <v>2.82</v>
      </c>
      <c r="BP16" s="52">
        <f t="shared" si="32"/>
        <v>33</v>
      </c>
      <c r="BQ16" s="52">
        <f t="shared" si="33"/>
        <v>34.787500000000001</v>
      </c>
      <c r="BR16" s="52">
        <v>38.92</v>
      </c>
      <c r="BS16" s="48">
        <f t="shared" si="34"/>
        <v>1.1793939393939394</v>
      </c>
      <c r="BT16" s="49">
        <f t="shared" si="6"/>
        <v>1.1187926697808122</v>
      </c>
      <c r="BU16" s="52">
        <f t="shared" si="35"/>
        <v>16.47</v>
      </c>
      <c r="BV16" s="52">
        <v>0.95</v>
      </c>
      <c r="BW16" s="52">
        <f t="shared" si="36"/>
        <v>39</v>
      </c>
      <c r="BX16" s="52">
        <f t="shared" si="37"/>
        <v>41.112500000000004</v>
      </c>
      <c r="BY16" s="47">
        <v>47.51</v>
      </c>
      <c r="BZ16" s="48">
        <f t="shared" si="38"/>
        <v>1.2182051282051281</v>
      </c>
      <c r="CA16" s="49">
        <f t="shared" si="39"/>
        <v>1.1556096077835207</v>
      </c>
      <c r="CB16" s="52">
        <f t="shared" si="40"/>
        <v>18.3</v>
      </c>
      <c r="CC16" s="52">
        <f t="shared" si="7"/>
        <v>-1.0299999999999994</v>
      </c>
      <c r="CD16" s="47">
        <f t="shared" si="41"/>
        <v>48</v>
      </c>
      <c r="CE16" s="47">
        <f t="shared" si="42"/>
        <v>50.6</v>
      </c>
      <c r="CF16" s="47">
        <v>44.65</v>
      </c>
      <c r="CG16" s="47">
        <f t="shared" si="43"/>
        <v>0.9302083333333333</v>
      </c>
      <c r="CH16" s="47">
        <f t="shared" si="44"/>
        <v>0.88241106719367579</v>
      </c>
      <c r="CI16" s="52">
        <f t="shared" si="45"/>
        <v>20.130000000000003</v>
      </c>
      <c r="CJ16" s="52">
        <f t="shared" si="46"/>
        <v>28.96</v>
      </c>
      <c r="CK16" s="55">
        <v>1.2</v>
      </c>
      <c r="CL16" s="55">
        <v>1.2</v>
      </c>
      <c r="CM16" s="52">
        <f t="shared" si="47"/>
        <v>54</v>
      </c>
      <c r="CN16" s="52">
        <f t="shared" si="8"/>
        <v>56.925000000000004</v>
      </c>
      <c r="CO16" s="52">
        <v>47.68</v>
      </c>
      <c r="CP16" s="52">
        <v>49.09</v>
      </c>
      <c r="CQ16" s="54">
        <f t="shared" si="48"/>
        <v>0.90907407407407415</v>
      </c>
      <c r="CR16" s="54">
        <f t="shared" si="49"/>
        <v>0.8623627580149319</v>
      </c>
      <c r="CS16" s="55">
        <v>60</v>
      </c>
      <c r="CT16" s="55">
        <v>63.25</v>
      </c>
      <c r="CU16" s="9">
        <v>22</v>
      </c>
      <c r="CV16" s="56">
        <f t="shared" si="50"/>
        <v>14.64</v>
      </c>
      <c r="CW16" s="56">
        <f t="shared" si="9"/>
        <v>24.28</v>
      </c>
      <c r="CX16" s="56">
        <f t="shared" si="58"/>
        <v>24.28</v>
      </c>
      <c r="CY16" s="56">
        <f>3*4</f>
        <v>12</v>
      </c>
      <c r="CZ16" s="56">
        <f>7+2</f>
        <v>9</v>
      </c>
      <c r="DA16" s="56">
        <f>BR16+CY16+CZ16</f>
        <v>59.92</v>
      </c>
      <c r="DB16" s="56">
        <f t="shared" si="11"/>
        <v>-3.3299999999999983</v>
      </c>
      <c r="DC16" s="56">
        <v>41.841433333333327</v>
      </c>
      <c r="DD16" s="55"/>
      <c r="DE16" s="57">
        <v>4.4000000000000004</v>
      </c>
      <c r="DF16" s="55">
        <f>4.4*2</f>
        <v>8.8000000000000007</v>
      </c>
      <c r="DG16" s="55">
        <v>4.3</v>
      </c>
      <c r="DH16" s="55">
        <f t="shared" si="51"/>
        <v>50.92</v>
      </c>
      <c r="DI16" s="57">
        <f>CF16+DF16+DG16</f>
        <v>57.75</v>
      </c>
      <c r="DJ16" s="57">
        <f t="shared" si="12"/>
        <v>8.6599999999999966</v>
      </c>
      <c r="DK16" s="57">
        <v>53.91</v>
      </c>
      <c r="DL16" s="57">
        <f t="shared" si="52"/>
        <v>3.8400000000000034</v>
      </c>
      <c r="DM16" s="58">
        <f t="shared" si="53"/>
        <v>0.89849999999999997</v>
      </c>
      <c r="DN16" s="58">
        <f t="shared" si="54"/>
        <v>0.85233201581027662</v>
      </c>
      <c r="DO16" s="9">
        <f t="shared" si="55"/>
        <v>29</v>
      </c>
      <c r="DP16" s="9">
        <v>63.865343173333329</v>
      </c>
      <c r="DQ16" s="50">
        <f>DP16/CS16</f>
        <v>1.0644223862222222</v>
      </c>
      <c r="DR16" s="50">
        <f>DP17/CT16</f>
        <v>0.78740996287747034</v>
      </c>
    </row>
    <row r="17" spans="1:122" s="29" customFormat="1" x14ac:dyDescent="0.2">
      <c r="A17" s="40" t="s">
        <v>145</v>
      </c>
      <c r="B17" s="41">
        <v>27.93</v>
      </c>
      <c r="C17" s="42">
        <v>46</v>
      </c>
      <c r="D17" s="43">
        <v>55.75</v>
      </c>
      <c r="E17" s="42">
        <v>12.93</v>
      </c>
      <c r="F17" s="44">
        <v>33.07</v>
      </c>
      <c r="G17" s="45">
        <v>42.82</v>
      </c>
      <c r="H17" s="44">
        <v>26.18</v>
      </c>
      <c r="I17" s="44">
        <v>13.25</v>
      </c>
      <c r="J17" s="44">
        <v>29.57</v>
      </c>
      <c r="K17" s="44">
        <v>55.9</v>
      </c>
      <c r="L17" s="44">
        <v>42.97</v>
      </c>
      <c r="M17" s="63" t="s">
        <v>146</v>
      </c>
      <c r="N17" s="46">
        <v>1.08</v>
      </c>
      <c r="O17" s="9">
        <v>1.4</v>
      </c>
      <c r="P17" s="46">
        <v>2.79</v>
      </c>
      <c r="Q17" s="46">
        <v>0.3</v>
      </c>
      <c r="R17" s="46">
        <v>1.08</v>
      </c>
      <c r="S17" s="47">
        <v>1.38</v>
      </c>
      <c r="T17" s="48">
        <v>0.98819999999999997</v>
      </c>
      <c r="U17" s="49">
        <v>0.49509999999999998</v>
      </c>
      <c r="V17" s="9">
        <v>2.79</v>
      </c>
      <c r="W17" s="46">
        <v>5.58</v>
      </c>
      <c r="X17" s="46">
        <v>2.16</v>
      </c>
      <c r="Y17" s="46"/>
      <c r="Z17" s="46">
        <v>1.67</v>
      </c>
      <c r="AA17" s="47">
        <v>3.82</v>
      </c>
      <c r="AB17" s="48">
        <v>1.3676999999999999</v>
      </c>
      <c r="AC17" s="49">
        <v>0.68520000000000003</v>
      </c>
      <c r="AD17" s="50">
        <v>4.1900000000000004</v>
      </c>
      <c r="AE17" s="46">
        <v>8.36</v>
      </c>
      <c r="AF17" s="46">
        <v>3.23</v>
      </c>
      <c r="AG17" s="9">
        <v>1.07</v>
      </c>
      <c r="AH17" s="9">
        <f t="shared" si="0"/>
        <v>-0.64999999999999991</v>
      </c>
      <c r="AI17" s="47">
        <v>4.25</v>
      </c>
      <c r="AJ17" s="48">
        <f t="shared" si="13"/>
        <v>1.0143198090692123</v>
      </c>
      <c r="AK17" s="49">
        <f t="shared" si="14"/>
        <v>0.50837320574162681</v>
      </c>
      <c r="AL17" s="51">
        <f t="shared" si="15"/>
        <v>5.5860000000000003</v>
      </c>
      <c r="AM17" s="46">
        <f t="shared" si="16"/>
        <v>11.15</v>
      </c>
      <c r="AN17" s="46">
        <f t="shared" si="17"/>
        <v>4.32</v>
      </c>
      <c r="AO17" s="9">
        <f t="shared" si="18"/>
        <v>0.41000000000000014</v>
      </c>
      <c r="AP17" s="47">
        <v>5.74</v>
      </c>
      <c r="AQ17" s="48">
        <f t="shared" si="1"/>
        <v>1.0275689223057645</v>
      </c>
      <c r="AR17" s="49">
        <f t="shared" si="2"/>
        <v>0.51479820627802686</v>
      </c>
      <c r="AS17" s="9">
        <f t="shared" si="19"/>
        <v>6.8999999999999995</v>
      </c>
      <c r="AT17" s="52">
        <v>0.01</v>
      </c>
      <c r="AU17" s="9">
        <f t="shared" si="20"/>
        <v>6.9824999999999999</v>
      </c>
      <c r="AV17" s="9">
        <f t="shared" si="21"/>
        <v>13.9375</v>
      </c>
      <c r="AW17" s="47">
        <v>7.35</v>
      </c>
      <c r="AX17" s="48">
        <f t="shared" si="22"/>
        <v>1.0526315789473684</v>
      </c>
      <c r="AY17" s="49">
        <f t="shared" si="23"/>
        <v>0.52735426008968611</v>
      </c>
      <c r="AZ17" s="52">
        <f t="shared" si="24"/>
        <v>6.48</v>
      </c>
      <c r="BA17" s="52">
        <f t="shared" si="25"/>
        <v>6.3800000000000008</v>
      </c>
      <c r="BB17" s="52">
        <f t="shared" si="56"/>
        <v>11.172000000000001</v>
      </c>
      <c r="BC17" s="52">
        <f t="shared" si="26"/>
        <v>22.3</v>
      </c>
      <c r="BD17" s="52">
        <v>14.81</v>
      </c>
      <c r="BE17" s="48">
        <f t="shared" si="3"/>
        <v>1.3256355173648406</v>
      </c>
      <c r="BF17" s="49">
        <f t="shared" si="27"/>
        <v>0.66412556053811655</v>
      </c>
      <c r="BG17" s="52">
        <f t="shared" si="28"/>
        <v>7.5600000000000005</v>
      </c>
      <c r="BH17" s="52">
        <v>3.77</v>
      </c>
      <c r="BI17" s="52">
        <f t="shared" si="29"/>
        <v>12.5685</v>
      </c>
      <c r="BJ17" s="52">
        <f t="shared" si="30"/>
        <v>25.087500000000002</v>
      </c>
      <c r="BK17" s="47">
        <v>16.96</v>
      </c>
      <c r="BL17" s="48">
        <f t="shared" si="4"/>
        <v>1.3494052591796952</v>
      </c>
      <c r="BM17" s="49">
        <f t="shared" si="5"/>
        <v>0.67603388141504728</v>
      </c>
      <c r="BN17" s="52">
        <f t="shared" si="31"/>
        <v>8.64</v>
      </c>
      <c r="BO17" s="52">
        <v>0.2</v>
      </c>
      <c r="BP17" s="52">
        <f t="shared" si="32"/>
        <v>15.361500000000001</v>
      </c>
      <c r="BQ17" s="52">
        <f t="shared" si="33"/>
        <v>30.662500000000001</v>
      </c>
      <c r="BR17" s="52">
        <v>17.57</v>
      </c>
      <c r="BS17" s="48">
        <f t="shared" si="34"/>
        <v>1.1437685121895647</v>
      </c>
      <c r="BT17" s="49">
        <f t="shared" si="6"/>
        <v>0.57301263758662857</v>
      </c>
      <c r="BU17" s="52">
        <f t="shared" si="35"/>
        <v>9.7200000000000006</v>
      </c>
      <c r="BV17" s="52">
        <v>0.64</v>
      </c>
      <c r="BW17" s="52">
        <f t="shared" si="36"/>
        <v>18.154499999999999</v>
      </c>
      <c r="BX17" s="52">
        <f t="shared" si="37"/>
        <v>36.237500000000004</v>
      </c>
      <c r="BY17" s="47">
        <v>26.81</v>
      </c>
      <c r="BZ17" s="48">
        <f t="shared" si="38"/>
        <v>1.4767688451898979</v>
      </c>
      <c r="CA17" s="49">
        <f t="shared" si="39"/>
        <v>0.73984132459468765</v>
      </c>
      <c r="CB17" s="52">
        <f t="shared" si="40"/>
        <v>10.8</v>
      </c>
      <c r="CC17" s="52">
        <f t="shared" si="7"/>
        <v>9.1900000000000031</v>
      </c>
      <c r="CD17" s="47">
        <f t="shared" si="41"/>
        <v>22.344000000000001</v>
      </c>
      <c r="CE17" s="47">
        <f t="shared" si="42"/>
        <v>44.6</v>
      </c>
      <c r="CF17" s="47">
        <v>34.92</v>
      </c>
      <c r="CG17" s="47">
        <f t="shared" si="43"/>
        <v>1.5628356605800215</v>
      </c>
      <c r="CH17" s="47">
        <f t="shared" si="44"/>
        <v>0.78295964125560535</v>
      </c>
      <c r="CI17" s="52">
        <f t="shared" si="45"/>
        <v>11.88</v>
      </c>
      <c r="CJ17" s="52">
        <f t="shared" si="46"/>
        <v>25.22</v>
      </c>
      <c r="CK17" s="53">
        <v>0.45</v>
      </c>
      <c r="CL17" s="53">
        <v>0.66</v>
      </c>
      <c r="CM17" s="52">
        <f t="shared" si="47"/>
        <v>25.137</v>
      </c>
      <c r="CN17" s="52">
        <f t="shared" si="8"/>
        <v>50.175000000000004</v>
      </c>
      <c r="CO17" s="52">
        <v>36.450000000000003</v>
      </c>
      <c r="CP17" s="52">
        <v>37.1</v>
      </c>
      <c r="CQ17" s="54">
        <f t="shared" si="48"/>
        <v>1.4759120022277918</v>
      </c>
      <c r="CR17" s="54">
        <f t="shared" si="49"/>
        <v>0.73941205779770802</v>
      </c>
      <c r="CS17" s="55">
        <v>27.93</v>
      </c>
      <c r="CT17" s="55">
        <v>55.75</v>
      </c>
      <c r="CU17" s="9">
        <v>12.93</v>
      </c>
      <c r="CV17" s="56">
        <f t="shared" si="50"/>
        <v>8.64</v>
      </c>
      <c r="CW17" s="56">
        <f t="shared" si="9"/>
        <v>8.93</v>
      </c>
      <c r="CX17" s="56">
        <f t="shared" si="58"/>
        <v>8.93</v>
      </c>
      <c r="CY17" s="56">
        <f t="shared" ref="CY17:CY19" si="59">N17*4</f>
        <v>4.32</v>
      </c>
      <c r="CZ17" s="56">
        <v>12.18</v>
      </c>
      <c r="DA17" s="56">
        <v>34.58</v>
      </c>
      <c r="DB17" s="56">
        <f t="shared" si="11"/>
        <v>-21.17</v>
      </c>
      <c r="DC17" s="56">
        <v>37.336840000000002</v>
      </c>
      <c r="DD17" s="55"/>
      <c r="DE17" s="57">
        <v>5.7</v>
      </c>
      <c r="DF17" s="55">
        <f>N17*2</f>
        <v>2.16</v>
      </c>
      <c r="DG17" s="55">
        <v>6.6</v>
      </c>
      <c r="DH17" s="55">
        <f t="shared" si="51"/>
        <v>38.18</v>
      </c>
      <c r="DI17" s="57">
        <f>CF17+DF17+DG17</f>
        <v>43.68</v>
      </c>
      <c r="DJ17" s="57">
        <f t="shared" si="12"/>
        <v>6.5799999999999983</v>
      </c>
      <c r="DK17" s="57">
        <v>43.230000000000004</v>
      </c>
      <c r="DL17" s="57">
        <f t="shared" si="52"/>
        <v>0.44999999999999574</v>
      </c>
      <c r="DM17" s="58">
        <f t="shared" si="53"/>
        <v>1.5477980665950593</v>
      </c>
      <c r="DN17" s="58">
        <f t="shared" si="54"/>
        <v>0.77542600896860991</v>
      </c>
      <c r="DO17" s="46">
        <f t="shared" si="55"/>
        <v>14.91</v>
      </c>
      <c r="DP17" s="9">
        <v>49.803680151999998</v>
      </c>
      <c r="DQ17" s="50">
        <f>DP17/CS17</f>
        <v>1.7831607644826351</v>
      </c>
      <c r="DR17" s="50">
        <f>DP17/CT17</f>
        <v>0.89333955429596412</v>
      </c>
    </row>
    <row r="18" spans="1:122" s="29" customFormat="1" x14ac:dyDescent="0.2">
      <c r="A18" s="40" t="s">
        <v>147</v>
      </c>
      <c r="B18" s="41">
        <v>33.4</v>
      </c>
      <c r="C18" s="42">
        <v>52</v>
      </c>
      <c r="D18" s="43">
        <v>64.75</v>
      </c>
      <c r="E18" s="42">
        <v>18.7</v>
      </c>
      <c r="F18" s="44">
        <v>33.299999999999997</v>
      </c>
      <c r="G18" s="45">
        <v>46.05</v>
      </c>
      <c r="H18" s="44">
        <v>28.82</v>
      </c>
      <c r="I18" s="44">
        <v>10.119999999999999</v>
      </c>
      <c r="J18" s="44">
        <v>35.93</v>
      </c>
      <c r="K18" s="44">
        <v>64.760000000000005</v>
      </c>
      <c r="L18" s="44">
        <v>46.06</v>
      </c>
      <c r="M18" s="63" t="s">
        <v>148</v>
      </c>
      <c r="N18" s="46">
        <v>1.56</v>
      </c>
      <c r="O18" s="9">
        <v>1.67</v>
      </c>
      <c r="P18" s="46">
        <v>3.24</v>
      </c>
      <c r="Q18" s="46">
        <v>0.03</v>
      </c>
      <c r="R18" s="46">
        <v>1.56</v>
      </c>
      <c r="S18" s="47">
        <v>1.59</v>
      </c>
      <c r="T18" s="48">
        <v>0.95209999999999995</v>
      </c>
      <c r="U18" s="49">
        <v>0.49109999999999998</v>
      </c>
      <c r="V18" s="9">
        <v>3.34</v>
      </c>
      <c r="W18" s="46">
        <v>6.48</v>
      </c>
      <c r="X18" s="46">
        <v>3.12</v>
      </c>
      <c r="Y18" s="46"/>
      <c r="Z18" s="46">
        <v>-7.0000000000000007E-2</v>
      </c>
      <c r="AA18" s="47">
        <v>3.05</v>
      </c>
      <c r="AB18" s="48">
        <v>0.91320000000000001</v>
      </c>
      <c r="AC18" s="49">
        <v>0.47099999999999997</v>
      </c>
      <c r="AD18" s="50">
        <v>5.01</v>
      </c>
      <c r="AE18" s="46">
        <v>9.7100000000000009</v>
      </c>
      <c r="AF18" s="46">
        <v>4.68</v>
      </c>
      <c r="AG18" s="9">
        <v>17.61</v>
      </c>
      <c r="AH18" s="9">
        <f t="shared" si="0"/>
        <v>20.060000000000002</v>
      </c>
      <c r="AI18" s="47">
        <v>24.67</v>
      </c>
      <c r="AJ18" s="48">
        <f t="shared" si="13"/>
        <v>4.9241516966067866</v>
      </c>
      <c r="AK18" s="49">
        <f t="shared" si="14"/>
        <v>2.5406797116374871</v>
      </c>
      <c r="AL18" s="51">
        <f t="shared" si="15"/>
        <v>6.68</v>
      </c>
      <c r="AM18" s="46">
        <f t="shared" si="16"/>
        <v>12.950000000000001</v>
      </c>
      <c r="AN18" s="46">
        <f t="shared" si="17"/>
        <v>6.24</v>
      </c>
      <c r="AO18" s="9">
        <f t="shared" si="18"/>
        <v>-0.52000000000000091</v>
      </c>
      <c r="AP18" s="47">
        <v>25.71</v>
      </c>
      <c r="AQ18" s="48">
        <f t="shared" si="1"/>
        <v>3.8488023952095811</v>
      </c>
      <c r="AR18" s="49">
        <f t="shared" si="2"/>
        <v>1.9853281853281852</v>
      </c>
      <c r="AS18" s="9">
        <f t="shared" si="19"/>
        <v>7.95</v>
      </c>
      <c r="AT18" s="52">
        <v>8.43</v>
      </c>
      <c r="AU18" s="9">
        <v>8.44</v>
      </c>
      <c r="AV18" s="9">
        <f t="shared" si="21"/>
        <v>16.1875</v>
      </c>
      <c r="AW18" s="47">
        <v>28.64</v>
      </c>
      <c r="AX18" s="48">
        <f t="shared" si="22"/>
        <v>3.393364928909953</v>
      </c>
      <c r="AY18" s="49">
        <f t="shared" si="23"/>
        <v>1.7692664092664092</v>
      </c>
      <c r="AZ18" s="52">
        <f t="shared" si="24"/>
        <v>9.36</v>
      </c>
      <c r="BA18" s="52">
        <f t="shared" si="25"/>
        <v>22.250000000000004</v>
      </c>
      <c r="BB18" s="52">
        <f t="shared" si="56"/>
        <v>13.36</v>
      </c>
      <c r="BC18" s="52">
        <f t="shared" si="26"/>
        <v>25.900000000000002</v>
      </c>
      <c r="BD18" s="52">
        <v>52.45</v>
      </c>
      <c r="BE18" s="48">
        <f t="shared" si="3"/>
        <v>3.9258982035928147</v>
      </c>
      <c r="BF18" s="49">
        <f t="shared" si="27"/>
        <v>2.0250965250965249</v>
      </c>
      <c r="BG18" s="52">
        <f t="shared" si="28"/>
        <v>10.92</v>
      </c>
      <c r="BH18" s="52">
        <v>1.32</v>
      </c>
      <c r="BI18" s="52">
        <f t="shared" si="29"/>
        <v>15.03</v>
      </c>
      <c r="BJ18" s="52">
        <f t="shared" si="30"/>
        <v>29.137499999999999</v>
      </c>
      <c r="BK18" s="47">
        <v>54.17</v>
      </c>
      <c r="BL18" s="48">
        <f t="shared" si="4"/>
        <v>3.6041250831669998</v>
      </c>
      <c r="BM18" s="49">
        <f t="shared" si="5"/>
        <v>1.8591162591162593</v>
      </c>
      <c r="BN18" s="52">
        <f t="shared" si="31"/>
        <v>12.48</v>
      </c>
      <c r="BO18" s="52">
        <v>0.9</v>
      </c>
      <c r="BP18" s="52">
        <f t="shared" si="32"/>
        <v>18.37</v>
      </c>
      <c r="BQ18" s="52">
        <f t="shared" si="33"/>
        <v>35.612500000000004</v>
      </c>
      <c r="BR18" s="52">
        <v>55.12</v>
      </c>
      <c r="BS18" s="48">
        <f t="shared" si="34"/>
        <v>3.0005443658138264</v>
      </c>
      <c r="BT18" s="49">
        <f t="shared" si="6"/>
        <v>1.5477711477711475</v>
      </c>
      <c r="BU18" s="52">
        <f t="shared" si="35"/>
        <v>14.040000000000001</v>
      </c>
      <c r="BV18" s="52">
        <v>0.49</v>
      </c>
      <c r="BW18" s="52">
        <f t="shared" si="36"/>
        <v>21.71</v>
      </c>
      <c r="BX18" s="52">
        <f t="shared" si="37"/>
        <v>42.087499999999999</v>
      </c>
      <c r="BY18" s="47">
        <v>49.39</v>
      </c>
      <c r="BZ18" s="48">
        <f t="shared" si="38"/>
        <v>2.2749884845693229</v>
      </c>
      <c r="CA18" s="49">
        <f t="shared" si="39"/>
        <v>1.1735075735075735</v>
      </c>
      <c r="CB18" s="52">
        <f t="shared" si="40"/>
        <v>15.600000000000001</v>
      </c>
      <c r="CC18" s="52">
        <f t="shared" si="7"/>
        <v>0.70999999999999863</v>
      </c>
      <c r="CD18" s="47">
        <f t="shared" si="41"/>
        <v>26.72</v>
      </c>
      <c r="CE18" s="47">
        <f t="shared" si="42"/>
        <v>51.800000000000004</v>
      </c>
      <c r="CF18" s="47">
        <v>48.54</v>
      </c>
      <c r="CG18" s="47">
        <f t="shared" si="43"/>
        <v>1.8166167664670658</v>
      </c>
      <c r="CH18" s="47">
        <f t="shared" si="44"/>
        <v>0.93706563706563695</v>
      </c>
      <c r="CI18" s="52">
        <f t="shared" si="45"/>
        <v>17.16</v>
      </c>
      <c r="CJ18" s="52">
        <f t="shared" si="46"/>
        <v>32.840000000000003</v>
      </c>
      <c r="CK18" s="55">
        <v>8.0500000000000007</v>
      </c>
      <c r="CL18" s="55">
        <v>8.66</v>
      </c>
      <c r="CM18" s="52">
        <f t="shared" si="47"/>
        <v>30.06</v>
      </c>
      <c r="CN18" s="52">
        <f t="shared" si="8"/>
        <v>58.274999999999999</v>
      </c>
      <c r="CO18" s="52">
        <v>58.150000000000006</v>
      </c>
      <c r="CP18" s="52">
        <v>50</v>
      </c>
      <c r="CQ18" s="54">
        <f t="shared" si="48"/>
        <v>1.6633399866932801</v>
      </c>
      <c r="CR18" s="54">
        <f t="shared" si="49"/>
        <v>0.85800085800085801</v>
      </c>
      <c r="CS18" s="55">
        <v>33.4</v>
      </c>
      <c r="CT18" s="55">
        <v>64.75</v>
      </c>
      <c r="CU18" s="9">
        <v>18.7</v>
      </c>
      <c r="CV18" s="56">
        <f t="shared" si="50"/>
        <v>12.48</v>
      </c>
      <c r="CW18" s="56">
        <f t="shared" si="9"/>
        <v>42.64</v>
      </c>
      <c r="CX18" s="56">
        <f t="shared" si="58"/>
        <v>42.64</v>
      </c>
      <c r="CY18" s="56">
        <f t="shared" si="59"/>
        <v>6.24</v>
      </c>
      <c r="CZ18" s="56">
        <f>DA18-CY18-BR18</f>
        <v>25.590000000000011</v>
      </c>
      <c r="DA18" s="56">
        <v>86.95</v>
      </c>
      <c r="DB18" s="56">
        <f t="shared" si="11"/>
        <v>22.200000000000003</v>
      </c>
      <c r="DC18" s="56">
        <v>64.046766684999994</v>
      </c>
      <c r="DD18" s="55"/>
      <c r="DE18" s="57">
        <v>5.2</v>
      </c>
      <c r="DF18" s="55">
        <f>N18*2</f>
        <v>3.12</v>
      </c>
      <c r="DG18" s="55">
        <f>DI18-CF18-DF18</f>
        <v>19.559999999999999</v>
      </c>
      <c r="DH18" s="55">
        <f t="shared" si="51"/>
        <v>51.56</v>
      </c>
      <c r="DI18" s="57">
        <v>71.22</v>
      </c>
      <c r="DJ18" s="57">
        <f t="shared" si="12"/>
        <v>21.22</v>
      </c>
      <c r="DK18" s="57">
        <v>64.910000000000011</v>
      </c>
      <c r="DL18" s="57">
        <f t="shared" si="52"/>
        <v>6.3099999999999881</v>
      </c>
      <c r="DM18" s="58">
        <f t="shared" si="53"/>
        <v>1.9434131736526949</v>
      </c>
      <c r="DN18" s="58">
        <f t="shared" si="54"/>
        <v>1.0024710424710426</v>
      </c>
      <c r="DO18" s="46">
        <f t="shared" si="55"/>
        <v>39.56</v>
      </c>
      <c r="DP18" s="9">
        <v>86.950380529</v>
      </c>
      <c r="DQ18" s="50">
        <f>DP18/CS18</f>
        <v>2.6033048062574853</v>
      </c>
      <c r="DR18" s="50">
        <f>DP18/CT18</f>
        <v>1.3428630197528957</v>
      </c>
    </row>
    <row r="19" spans="1:122" s="29" customFormat="1" x14ac:dyDescent="0.2">
      <c r="A19" s="40" t="s">
        <v>149</v>
      </c>
      <c r="B19" s="41">
        <v>40</v>
      </c>
      <c r="C19" s="42">
        <v>60</v>
      </c>
      <c r="D19" s="43">
        <v>64.75</v>
      </c>
      <c r="E19" s="42">
        <v>5.78</v>
      </c>
      <c r="F19" s="44">
        <v>54.22</v>
      </c>
      <c r="G19" s="45">
        <v>58.97</v>
      </c>
      <c r="H19" s="44">
        <v>23.26</v>
      </c>
      <c r="I19" s="44">
        <v>17.48</v>
      </c>
      <c r="J19" s="44">
        <v>41.49</v>
      </c>
      <c r="K19" s="44">
        <v>64.75</v>
      </c>
      <c r="L19" s="44">
        <v>58.97</v>
      </c>
      <c r="M19" s="44">
        <v>0</v>
      </c>
      <c r="N19" s="46">
        <v>0.48</v>
      </c>
      <c r="O19" s="9">
        <v>2</v>
      </c>
      <c r="P19" s="46">
        <v>3.24</v>
      </c>
      <c r="Q19" s="46">
        <v>1.01</v>
      </c>
      <c r="R19" s="46">
        <v>0.48</v>
      </c>
      <c r="S19" s="47">
        <v>1.49</v>
      </c>
      <c r="T19" s="48">
        <v>0.745</v>
      </c>
      <c r="U19" s="49">
        <v>0.4602</v>
      </c>
      <c r="V19" s="9">
        <v>4</v>
      </c>
      <c r="W19" s="46">
        <v>6.48</v>
      </c>
      <c r="X19" s="46">
        <v>0.96</v>
      </c>
      <c r="Y19" s="46"/>
      <c r="Z19" s="46">
        <v>2.13</v>
      </c>
      <c r="AA19" s="47">
        <v>3.09</v>
      </c>
      <c r="AB19" s="48">
        <v>0.77249999999999996</v>
      </c>
      <c r="AC19" s="49">
        <v>0.47720000000000001</v>
      </c>
      <c r="AD19" s="50">
        <v>6</v>
      </c>
      <c r="AE19" s="46">
        <v>9.7100000000000009</v>
      </c>
      <c r="AF19" s="46">
        <v>1.45</v>
      </c>
      <c r="AG19" s="9">
        <v>3.82</v>
      </c>
      <c r="AH19" s="9">
        <f t="shared" si="0"/>
        <v>5.2099999999999991</v>
      </c>
      <c r="AI19" s="47">
        <v>8.7799999999999994</v>
      </c>
      <c r="AJ19" s="48">
        <f t="shared" si="13"/>
        <v>1.4633333333333332</v>
      </c>
      <c r="AK19" s="49">
        <f t="shared" si="14"/>
        <v>0.90422245108135924</v>
      </c>
      <c r="AL19" s="51">
        <f t="shared" si="15"/>
        <v>8</v>
      </c>
      <c r="AM19" s="46">
        <f t="shared" si="16"/>
        <v>12.950000000000001</v>
      </c>
      <c r="AN19" s="46">
        <f t="shared" si="17"/>
        <v>1.92</v>
      </c>
      <c r="AO19" s="9">
        <f t="shared" si="18"/>
        <v>0.24000000000000066</v>
      </c>
      <c r="AP19" s="47">
        <v>9.5</v>
      </c>
      <c r="AQ19" s="48">
        <f t="shared" si="1"/>
        <v>1.1875</v>
      </c>
      <c r="AR19" s="49">
        <f t="shared" si="2"/>
        <v>0.73359073359073357</v>
      </c>
      <c r="AS19" s="9">
        <f t="shared" si="19"/>
        <v>7.45</v>
      </c>
      <c r="AT19" s="52">
        <v>0.03</v>
      </c>
      <c r="AU19" s="9">
        <f t="shared" si="20"/>
        <v>10</v>
      </c>
      <c r="AV19" s="9">
        <f t="shared" si="21"/>
        <v>16.1875</v>
      </c>
      <c r="AW19" s="47">
        <v>11.9</v>
      </c>
      <c r="AX19" s="48">
        <f t="shared" si="22"/>
        <v>1.19</v>
      </c>
      <c r="AY19" s="49">
        <f t="shared" si="23"/>
        <v>0.73513513513513518</v>
      </c>
      <c r="AZ19" s="52">
        <f t="shared" si="24"/>
        <v>2.88</v>
      </c>
      <c r="BA19" s="52">
        <f t="shared" si="25"/>
        <v>4.9799999999999986</v>
      </c>
      <c r="BB19" s="52">
        <f t="shared" si="56"/>
        <v>16</v>
      </c>
      <c r="BC19" s="52">
        <f t="shared" si="26"/>
        <v>25.900000000000002</v>
      </c>
      <c r="BD19" s="52">
        <v>17.36</v>
      </c>
      <c r="BE19" s="48">
        <f t="shared" si="3"/>
        <v>1.085</v>
      </c>
      <c r="BF19" s="49">
        <f t="shared" si="27"/>
        <v>0.6702702702702702</v>
      </c>
      <c r="BG19" s="52">
        <f t="shared" si="28"/>
        <v>3.36</v>
      </c>
      <c r="BH19" s="52">
        <v>0.09</v>
      </c>
      <c r="BI19" s="52">
        <f t="shared" si="29"/>
        <v>18</v>
      </c>
      <c r="BJ19" s="52">
        <f t="shared" si="30"/>
        <v>29.137499999999999</v>
      </c>
      <c r="BK19" s="47">
        <v>20.77</v>
      </c>
      <c r="BL19" s="48">
        <f t="shared" si="4"/>
        <v>1.153888888888889</v>
      </c>
      <c r="BM19" s="49">
        <f t="shared" si="5"/>
        <v>0.71282711282711286</v>
      </c>
      <c r="BN19" s="52">
        <f t="shared" si="31"/>
        <v>3.84</v>
      </c>
      <c r="BO19" s="52">
        <v>7.58</v>
      </c>
      <c r="BP19" s="52">
        <f t="shared" si="32"/>
        <v>22</v>
      </c>
      <c r="BQ19" s="52">
        <f t="shared" si="33"/>
        <v>35.612500000000004</v>
      </c>
      <c r="BR19" s="52">
        <v>28.81</v>
      </c>
      <c r="BS19" s="48">
        <f t="shared" si="34"/>
        <v>1.3095454545454546</v>
      </c>
      <c r="BT19" s="49">
        <f t="shared" si="6"/>
        <v>0.80898560898560889</v>
      </c>
      <c r="BU19" s="52">
        <f t="shared" si="35"/>
        <v>4.32</v>
      </c>
      <c r="BV19" s="52">
        <v>0.43</v>
      </c>
      <c r="BW19" s="52">
        <f t="shared" si="36"/>
        <v>26</v>
      </c>
      <c r="BX19" s="52">
        <f t="shared" si="37"/>
        <v>42.087499999999999</v>
      </c>
      <c r="BY19" s="47">
        <v>33.24</v>
      </c>
      <c r="BZ19" s="48">
        <f t="shared" si="38"/>
        <v>1.2784615384615385</v>
      </c>
      <c r="CA19" s="49">
        <f t="shared" si="39"/>
        <v>0.78978318978318984</v>
      </c>
      <c r="CB19" s="52">
        <f t="shared" si="40"/>
        <v>4.8</v>
      </c>
      <c r="CC19" s="52">
        <f t="shared" si="7"/>
        <v>-3.5400000000000031</v>
      </c>
      <c r="CD19" s="47">
        <f t="shared" si="41"/>
        <v>32</v>
      </c>
      <c r="CE19" s="47">
        <f t="shared" si="42"/>
        <v>51.800000000000004</v>
      </c>
      <c r="CF19" s="47">
        <v>29.22</v>
      </c>
      <c r="CG19" s="47">
        <f t="shared" si="43"/>
        <v>0.91312499999999996</v>
      </c>
      <c r="CH19" s="47">
        <f t="shared" si="44"/>
        <v>0.56409266409266401</v>
      </c>
      <c r="CI19" s="52">
        <f t="shared" si="45"/>
        <v>5.2799999999999994</v>
      </c>
      <c r="CJ19" s="52">
        <f t="shared" si="46"/>
        <v>34.92</v>
      </c>
      <c r="CK19" s="53">
        <v>2.2400000000000002</v>
      </c>
      <c r="CL19" s="53">
        <v>9.56</v>
      </c>
      <c r="CM19" s="52">
        <f t="shared" si="47"/>
        <v>36</v>
      </c>
      <c r="CN19" s="52">
        <f t="shared" si="8"/>
        <v>58.274999999999999</v>
      </c>
      <c r="CO19" s="52">
        <v>31.939999999999998</v>
      </c>
      <c r="CP19" s="52">
        <v>40.200000000000003</v>
      </c>
      <c r="CQ19" s="54">
        <f t="shared" si="48"/>
        <v>1.1166666666666667</v>
      </c>
      <c r="CR19" s="54">
        <f t="shared" si="49"/>
        <v>0.68983268983268986</v>
      </c>
      <c r="CS19" s="55">
        <v>40</v>
      </c>
      <c r="CT19" s="55">
        <v>64.75</v>
      </c>
      <c r="CU19" s="9">
        <v>5.78</v>
      </c>
      <c r="CV19" s="56">
        <f t="shared" si="50"/>
        <v>3.84</v>
      </c>
      <c r="CW19" s="56">
        <f t="shared" si="9"/>
        <v>24.97</v>
      </c>
      <c r="CX19" s="56">
        <f t="shared" si="58"/>
        <v>24.97</v>
      </c>
      <c r="CY19" s="56">
        <f t="shared" si="59"/>
        <v>1.92</v>
      </c>
      <c r="CZ19" s="56">
        <v>34.950000000000003</v>
      </c>
      <c r="DA19" s="56">
        <v>65.7</v>
      </c>
      <c r="DB19" s="56">
        <f t="shared" si="11"/>
        <v>0.95000000000000284</v>
      </c>
      <c r="DC19" s="56">
        <v>59.971560760000003</v>
      </c>
      <c r="DD19" s="55"/>
      <c r="DE19" s="57">
        <v>7.16</v>
      </c>
      <c r="DF19" s="55">
        <v>7.67</v>
      </c>
      <c r="DG19" s="55">
        <v>9.4</v>
      </c>
      <c r="DH19" s="55">
        <f t="shared" si="51"/>
        <v>40.68</v>
      </c>
      <c r="DI19" s="57">
        <v>46.29</v>
      </c>
      <c r="DJ19" s="57">
        <f t="shared" si="12"/>
        <v>6.0899999999999963</v>
      </c>
      <c r="DK19" s="57">
        <v>39.579999999999991</v>
      </c>
      <c r="DL19" s="57">
        <f t="shared" si="52"/>
        <v>6.710000000000008</v>
      </c>
      <c r="DM19" s="58">
        <f t="shared" si="53"/>
        <v>0.98949999999999982</v>
      </c>
      <c r="DN19" s="58">
        <f t="shared" si="54"/>
        <v>0.61127413127413111</v>
      </c>
      <c r="DO19" s="46">
        <f t="shared" si="55"/>
        <v>15.26</v>
      </c>
      <c r="DP19" s="9">
        <v>65.747465128000002</v>
      </c>
      <c r="DQ19" s="50">
        <f>DP19/CS19</f>
        <v>1.6436866282</v>
      </c>
      <c r="DR19" s="50">
        <f>DP19/CT19</f>
        <v>1.0154048668416988</v>
      </c>
    </row>
    <row r="20" spans="1:122" s="29" customFormat="1" x14ac:dyDescent="0.2">
      <c r="A20" s="64" t="s">
        <v>150</v>
      </c>
      <c r="B20" s="65">
        <v>3231</v>
      </c>
      <c r="C20" s="65">
        <v>3889</v>
      </c>
      <c r="D20" s="65">
        <v>4000</v>
      </c>
      <c r="E20" s="64">
        <v>2094.61</v>
      </c>
      <c r="F20" s="64">
        <v>1794.39</v>
      </c>
      <c r="G20" s="64">
        <v>1905.39</v>
      </c>
      <c r="H20" s="64">
        <v>3736.77</v>
      </c>
      <c r="I20" s="64">
        <v>1642.16</v>
      </c>
      <c r="J20" s="66">
        <v>263.23</v>
      </c>
      <c r="K20" s="64">
        <v>3902.54</v>
      </c>
      <c r="L20" s="64">
        <v>1807.93</v>
      </c>
      <c r="M20" s="66">
        <v>97.46</v>
      </c>
      <c r="N20" s="64">
        <v>174.55</v>
      </c>
      <c r="O20" s="64">
        <v>161.55000000000001</v>
      </c>
      <c r="P20" s="65">
        <v>200</v>
      </c>
      <c r="Q20" s="64">
        <v>13.98</v>
      </c>
      <c r="R20" s="64">
        <v>174.55</v>
      </c>
      <c r="S20" s="64">
        <v>188.53</v>
      </c>
      <c r="T20" s="67">
        <v>1.167</v>
      </c>
      <c r="U20" s="67">
        <v>0.94269999999999998</v>
      </c>
      <c r="V20" s="64">
        <v>323.10000000000002</v>
      </c>
      <c r="W20" s="64">
        <v>400</v>
      </c>
      <c r="X20" s="64">
        <v>349.1</v>
      </c>
      <c r="Y20" s="64">
        <v>0</v>
      </c>
      <c r="Z20" s="64">
        <v>49.61</v>
      </c>
      <c r="AA20" s="64">
        <f>SUM(AA8:AA19)</f>
        <v>398.71000000000004</v>
      </c>
      <c r="AB20" s="67">
        <v>1.234</v>
      </c>
      <c r="AC20" s="67">
        <v>0.99680000000000002</v>
      </c>
      <c r="AD20" s="64">
        <v>484.65</v>
      </c>
      <c r="AE20" s="64">
        <v>583.35</v>
      </c>
      <c r="AF20" s="64">
        <v>523.65</v>
      </c>
      <c r="AG20" s="64">
        <v>195.21</v>
      </c>
      <c r="AH20" s="65">
        <f>SUM(AH8:AH19)</f>
        <v>104.28000000000002</v>
      </c>
      <c r="AI20" s="64">
        <v>677.62</v>
      </c>
      <c r="AJ20" s="67">
        <f>AI20/AD20</f>
        <v>1.3981636232332613</v>
      </c>
      <c r="AK20" s="67">
        <f>AI20/AE20</f>
        <v>1.1616010971115112</v>
      </c>
      <c r="AL20" s="68">
        <f>SUM(AL8:AL19)</f>
        <v>646.20000000000016</v>
      </c>
      <c r="AM20" s="68">
        <f>SUM(AM8:AM19)</f>
        <v>800</v>
      </c>
      <c r="AN20" s="65">
        <f>SUM(AN8:AN19)</f>
        <v>698.2</v>
      </c>
      <c r="AO20" s="65">
        <f>SUM(AO8:AO19)</f>
        <v>115.10999999999999</v>
      </c>
      <c r="AP20" s="65">
        <v>967.32</v>
      </c>
      <c r="AQ20" s="67">
        <f t="shared" si="1"/>
        <v>1.496935933147632</v>
      </c>
      <c r="AR20" s="67">
        <f t="shared" si="2"/>
        <v>1.2091500000000002</v>
      </c>
      <c r="AS20" s="65">
        <f>SUM(AS8:AS19)</f>
        <v>942.65000000000009</v>
      </c>
      <c r="AT20" s="65">
        <f>SUM(AT8:AT19)</f>
        <v>49.376052358000003</v>
      </c>
      <c r="AU20" s="65">
        <f>SUM(AU8:AU19)</f>
        <v>807.83999999999992</v>
      </c>
      <c r="AV20" s="65">
        <f>SUM(AV8:AV19)</f>
        <v>1000</v>
      </c>
      <c r="AW20" s="64">
        <f>SUM(AW8:AW19)+0.16</f>
        <v>1191.1200000000001</v>
      </c>
      <c r="AX20" s="67">
        <f t="shared" si="22"/>
        <v>1.4744503862150924</v>
      </c>
      <c r="AY20" s="67">
        <f t="shared" si="23"/>
        <v>1.1911200000000002</v>
      </c>
      <c r="AZ20" s="65">
        <f t="shared" ref="AZ20" si="60">SUM(AZ8:AZ19)</f>
        <v>1047.3</v>
      </c>
      <c r="BA20" s="65">
        <f>SUM(BA8:BA19)</f>
        <v>112.69000000000004</v>
      </c>
      <c r="BB20" s="65">
        <f>SUM(BB8:BB19)</f>
        <v>1292.4000000000003</v>
      </c>
      <c r="BC20" s="65">
        <f>SUM(BC8:BC19)</f>
        <v>1600</v>
      </c>
      <c r="BD20" s="69">
        <f>SUM(BD8:BD19)</f>
        <v>1478.1999999999998</v>
      </c>
      <c r="BE20" s="67">
        <f t="shared" si="3"/>
        <v>1.1437635406994735</v>
      </c>
      <c r="BF20" s="67">
        <f>BD20/BC20</f>
        <v>0.92387499999999989</v>
      </c>
      <c r="BG20" s="64">
        <f>SUM(BG8:BG19)</f>
        <v>1221.8499999999997</v>
      </c>
      <c r="BH20" s="36">
        <f>SUM(BH8:BH19)</f>
        <v>58.44</v>
      </c>
      <c r="BI20" s="64">
        <f t="shared" ref="BI20:BJ20" si="61">SUM(BI8:BI19)</f>
        <v>1453.95</v>
      </c>
      <c r="BJ20" s="65">
        <f t="shared" si="61"/>
        <v>1800</v>
      </c>
      <c r="BK20" s="65">
        <v>1592.17</v>
      </c>
      <c r="BL20" s="67">
        <f t="shared" si="4"/>
        <v>1.0950651673028646</v>
      </c>
      <c r="BM20" s="67">
        <f t="shared" si="5"/>
        <v>0.88453888888888887</v>
      </c>
      <c r="BN20" s="65">
        <f t="shared" si="31"/>
        <v>1396.4</v>
      </c>
      <c r="BO20" s="69">
        <f>SUM(BO8:BO19)</f>
        <v>121.68999999999998</v>
      </c>
      <c r="BP20" s="65">
        <f t="shared" si="32"/>
        <v>1777.0500000000002</v>
      </c>
      <c r="BQ20" s="65">
        <f t="shared" si="33"/>
        <v>2200</v>
      </c>
      <c r="BR20" s="70">
        <f>SUM(BR8:BR19)</f>
        <v>1990.03</v>
      </c>
      <c r="BS20" s="67">
        <f>BR20/BP20</f>
        <v>1.1198503137221798</v>
      </c>
      <c r="BT20" s="67">
        <f t="shared" si="6"/>
        <v>0.90455909090909092</v>
      </c>
      <c r="BU20" s="65">
        <f t="shared" si="35"/>
        <v>1570.95</v>
      </c>
      <c r="BV20" s="69">
        <f>SUM(BV8:BV19)</f>
        <v>23.379999999999995</v>
      </c>
      <c r="BW20" s="65">
        <f t="shared" si="36"/>
        <v>2100.15</v>
      </c>
      <c r="BX20" s="65">
        <f t="shared" si="37"/>
        <v>2600</v>
      </c>
      <c r="BY20" s="69">
        <f>SUM(BY8:BY19)</f>
        <v>2317.7899999999995</v>
      </c>
      <c r="BZ20" s="67">
        <f>BY20/BW20</f>
        <v>1.1036306930457345</v>
      </c>
      <c r="CA20" s="67">
        <f>BY20/BX20</f>
        <v>0.89145769230769212</v>
      </c>
      <c r="CB20" s="65">
        <f t="shared" si="40"/>
        <v>1745.5</v>
      </c>
      <c r="CC20" s="71">
        <f>SUM(CC8:CC19)</f>
        <v>377.45</v>
      </c>
      <c r="CD20" s="65">
        <f t="shared" si="41"/>
        <v>2584.8000000000002</v>
      </c>
      <c r="CE20" s="65">
        <f t="shared" si="42"/>
        <v>3200</v>
      </c>
      <c r="CF20" s="70">
        <v>2522</v>
      </c>
      <c r="CG20" s="67">
        <f>CF20/CD20</f>
        <v>0.97570411637263998</v>
      </c>
      <c r="CH20" s="67">
        <f>CF20/CE20</f>
        <v>0.78812499999999996</v>
      </c>
      <c r="CI20" s="68">
        <f t="shared" si="45"/>
        <v>1920.0500000000002</v>
      </c>
      <c r="CJ20" s="68">
        <f>SUM(CJ8:CJ19)</f>
        <v>938.09000000000015</v>
      </c>
      <c r="CK20" s="71">
        <f>SUM(CK8:CK19)</f>
        <v>178.42</v>
      </c>
      <c r="CL20" s="71">
        <f>SUM(CL8:CL19)</f>
        <v>172.32999999999998</v>
      </c>
      <c r="CM20" s="68">
        <f t="shared" si="47"/>
        <v>2907.9</v>
      </c>
      <c r="CN20" s="68">
        <f t="shared" si="8"/>
        <v>3600</v>
      </c>
      <c r="CO20" s="68">
        <v>2873.6600000000003</v>
      </c>
      <c r="CP20" s="71">
        <v>2860.13</v>
      </c>
      <c r="CQ20" s="72">
        <f>CP20/CM20</f>
        <v>0.98357233742563366</v>
      </c>
      <c r="CR20" s="72">
        <f>CP20/CN20</f>
        <v>0.79448055555555563</v>
      </c>
      <c r="CS20" s="68">
        <v>3231</v>
      </c>
      <c r="CT20" s="68">
        <v>4000</v>
      </c>
      <c r="CU20" s="68">
        <v>2094.61</v>
      </c>
      <c r="CV20" s="68">
        <f t="shared" ref="CV20:DA20" si="62">SUM(CV8:CV19)</f>
        <v>1396.4</v>
      </c>
      <c r="CW20" s="68">
        <f t="shared" si="62"/>
        <v>593.63000000000011</v>
      </c>
      <c r="CX20" s="68">
        <f t="shared" si="62"/>
        <v>611.98000000000013</v>
      </c>
      <c r="CY20" s="73">
        <f t="shared" si="62"/>
        <v>702.88</v>
      </c>
      <c r="CZ20" s="73">
        <f t="shared" si="62"/>
        <v>1231.6144243606755</v>
      </c>
      <c r="DA20" s="73">
        <f t="shared" si="62"/>
        <v>3925.0544243606751</v>
      </c>
      <c r="DB20" s="73">
        <f t="shared" si="11"/>
        <v>-74.945575639324943</v>
      </c>
      <c r="DC20" s="68">
        <f>SUM(DC8:DC19)</f>
        <v>1796.251887278009</v>
      </c>
      <c r="DD20" s="69">
        <f>175.905001597+508.35</f>
        <v>684.25500159700005</v>
      </c>
      <c r="DE20" s="69">
        <f t="shared" ref="DE20:DG20" si="63">SUM(DE8:DE19)</f>
        <v>325.26</v>
      </c>
      <c r="DF20" s="70">
        <f t="shared" si="63"/>
        <v>360.03000000000009</v>
      </c>
      <c r="DG20" s="70">
        <f t="shared" si="63"/>
        <v>545.06667493998907</v>
      </c>
      <c r="DH20" s="70">
        <f>SUM(DH8:DH19)</f>
        <v>3032.6899999999991</v>
      </c>
      <c r="DI20" s="70">
        <f>SUM(DI8:DI19)</f>
        <v>3425.7866749399882</v>
      </c>
      <c r="DJ20" s="70">
        <f>SUM(DJ8:DJ19)</f>
        <v>567.64667493998934</v>
      </c>
      <c r="DK20" s="70">
        <v>3372.92</v>
      </c>
      <c r="DL20" s="69">
        <f>DI20-DK20</f>
        <v>52.866674939988116</v>
      </c>
      <c r="DM20" s="74">
        <f>DK20/CS20</f>
        <v>1.0439244815846487</v>
      </c>
      <c r="DN20" s="74">
        <f t="shared" si="54"/>
        <v>0.84323000000000004</v>
      </c>
      <c r="DO20" s="68">
        <f>SUM(DO8:DO19)</f>
        <v>2412.8099999999995</v>
      </c>
      <c r="DP20" s="75">
        <f>SUM(DP8:DP19)</f>
        <v>3952.6852743870086</v>
      </c>
      <c r="DQ20" s="76">
        <f>DP20/CS20</f>
        <v>1.2233628209182943</v>
      </c>
      <c r="DR20" s="76">
        <f>DP20/CT20</f>
        <v>0.98817131859675211</v>
      </c>
    </row>
    <row r="21" spans="1:122" s="80" customFormat="1" ht="11" x14ac:dyDescent="0.15">
      <c r="A21" s="46"/>
      <c r="B21" s="46"/>
      <c r="C21" s="46"/>
      <c r="D21" s="46"/>
      <c r="E21" s="9">
        <f>B20-E20</f>
        <v>1136.3899999999999</v>
      </c>
      <c r="F21" s="46"/>
      <c r="G21" s="46"/>
      <c r="H21" s="46"/>
      <c r="I21" s="46"/>
      <c r="J21" s="46"/>
      <c r="K21" s="46"/>
      <c r="L21" s="46"/>
      <c r="M21" s="46"/>
      <c r="N21" s="46">
        <f>N20</f>
        <v>174.55</v>
      </c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50"/>
      <c r="AE21" s="50"/>
      <c r="AF21" s="50"/>
      <c r="AG21" s="50"/>
      <c r="AH21" s="50"/>
      <c r="AI21" s="50"/>
      <c r="AJ21" s="46"/>
      <c r="AK21" s="77"/>
      <c r="AL21" s="78">
        <f>AP20/3231</f>
        <v>0.29938718662952646</v>
      </c>
      <c r="AM21" s="77"/>
      <c r="AN21" s="79"/>
      <c r="AO21" s="46"/>
      <c r="AP21" s="50">
        <f>AP20/4000</f>
        <v>0.24183000000000002</v>
      </c>
      <c r="AQ21" s="6"/>
      <c r="AR21" s="46"/>
      <c r="AS21" s="46"/>
      <c r="AT21" s="46"/>
      <c r="AU21" s="46"/>
      <c r="AW21" s="50">
        <f>AW20/D20</f>
        <v>0.29778000000000004</v>
      </c>
      <c r="AY21" s="52"/>
      <c r="AZ21" s="81">
        <f>BD20-AZ20</f>
        <v>430.89999999999986</v>
      </c>
      <c r="BC21" s="81">
        <f>BD21-AZ20</f>
        <v>430.89999999999986</v>
      </c>
      <c r="BD21" s="19">
        <f>BD20</f>
        <v>1478.1999999999998</v>
      </c>
      <c r="BH21" s="82">
        <f>BH20*10^9</f>
        <v>58440000000</v>
      </c>
      <c r="BJ21" s="83">
        <v>83.44</v>
      </c>
      <c r="BK21" s="83">
        <f>SUM(BK10:BK19)</f>
        <v>247.26000000000002</v>
      </c>
      <c r="BL21" s="83">
        <f>BK21-BJ21</f>
        <v>163.82000000000002</v>
      </c>
      <c r="BN21" s="81">
        <f>BR20-BN20</f>
        <v>593.62999999999988</v>
      </c>
      <c r="BR21" s="81">
        <f>BR20-BK20</f>
        <v>397.8599999999999</v>
      </c>
      <c r="BY21" s="81">
        <f>SUM(BY8:BY19)</f>
        <v>2317.7899999999995</v>
      </c>
      <c r="CE21" s="81">
        <f>CF20-BY20</f>
        <v>204.21000000000049</v>
      </c>
      <c r="CF21" s="81">
        <f>CF20-76</f>
        <v>2446</v>
      </c>
      <c r="CG21" s="84">
        <f>CF21/3231</f>
        <v>0.75704116372640051</v>
      </c>
      <c r="CI21" s="52">
        <f>CP20-CI20</f>
        <v>940.07999999999993</v>
      </c>
      <c r="CJ21" s="52">
        <f>CI20+CJ20</f>
        <v>2858.1400000000003</v>
      </c>
      <c r="CK21" s="85">
        <f>CK20-CL20</f>
        <v>6.0900000000000034</v>
      </c>
      <c r="CL21" s="85">
        <v>192.99</v>
      </c>
      <c r="CO21" s="83">
        <f>CO20-CP20</f>
        <v>13.5300000000002</v>
      </c>
      <c r="CP21" s="83">
        <v>2872.4550015970003</v>
      </c>
      <c r="CQ21" s="84" t="e">
        <f>#REF!/CM20</f>
        <v>#REF!</v>
      </c>
      <c r="CR21" s="84" t="e">
        <f>#REF!/CN20</f>
        <v>#REF!</v>
      </c>
      <c r="CS21" s="83">
        <f>CS20-E20</f>
        <v>1136.3899999999999</v>
      </c>
      <c r="CU21" s="80">
        <f>CU20/12</f>
        <v>174.55083333333334</v>
      </c>
      <c r="DA21" s="81"/>
      <c r="DC21" s="9">
        <v>987.76008536767563</v>
      </c>
      <c r="DE21" s="86">
        <f>DK20-DK21</f>
        <v>13.5300000000002</v>
      </c>
      <c r="DG21" s="81">
        <f>DG20-CK21</f>
        <v>538.97667493998904</v>
      </c>
      <c r="DI21" s="81">
        <f>DI20-CF20-DG20</f>
        <v>358.71999999999912</v>
      </c>
      <c r="DJ21" s="81"/>
      <c r="DK21" s="81">
        <f>DK20-13.53</f>
        <v>3359.39</v>
      </c>
      <c r="DL21" s="81">
        <v>168.35195975499997</v>
      </c>
      <c r="DP21" s="81">
        <f>BD21+CU21+DC21</f>
        <v>2640.5109187010084</v>
      </c>
      <c r="DQ21" s="81" t="e">
        <f>#REF!+DD20+N20</f>
        <v>#REF!</v>
      </c>
    </row>
  </sheetData>
  <conditionalFormatting sqref="AJ8:AK19">
    <cfRule type="cellIs" dxfId="4" priority="4" operator="lessThan">
      <formula>1</formula>
    </cfRule>
  </conditionalFormatting>
  <conditionalFormatting sqref="AQ8:AR19">
    <cfRule type="cellIs" dxfId="3" priority="5" operator="lessThan">
      <formula>1</formula>
    </cfRule>
  </conditionalFormatting>
  <conditionalFormatting sqref="AX8:AY19">
    <cfRule type="cellIs" dxfId="2" priority="3" operator="lessThan">
      <formula>1</formula>
    </cfRule>
  </conditionalFormatting>
  <conditionalFormatting sqref="BE8:BF19 BL8:BM19 BS8:BT19">
    <cfRule type="cellIs" dxfId="1" priority="2" operator="lessThan">
      <formula>1</formula>
    </cfRule>
  </conditionalFormatting>
  <conditionalFormatting sqref="BZ8:CA19 CQ8:CR19">
    <cfRule type="cellIs" dxfId="0" priority="1" operator="lessThan">
      <formula>1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2025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Maharyuda Saputra</dc:creator>
  <cp:lastModifiedBy>Jonathan Maharyuda Saputra</cp:lastModifiedBy>
  <dcterms:created xsi:type="dcterms:W3CDTF">2025-12-18T05:07:13Z</dcterms:created>
  <dcterms:modified xsi:type="dcterms:W3CDTF">2025-12-18T05:09:09Z</dcterms:modified>
</cp:coreProperties>
</file>